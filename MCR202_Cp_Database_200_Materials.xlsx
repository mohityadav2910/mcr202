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iit bhu\5th sem\MCR 202\"/>
    </mc:Choice>
  </mc:AlternateContent>
  <xr:revisionPtr revIDLastSave="0" documentId="8_{5030B4C1-A0DF-4014-A79C-C1BFA925A1A0}" xr6:coauthVersionLast="47" xr6:coauthVersionMax="47" xr10:uidLastSave="{00000000-0000-0000-0000-000000000000}"/>
  <bookViews>
    <workbookView xWindow="1608" yWindow="876" windowWidth="17280" windowHeight="8880" xr2:uid="{DACF3613-4C4C-4E68-AE55-A14111203FFD}"/>
  </bookViews>
  <sheets>
    <sheet name="Cp_Database_200" sheetId="1" r:id="rId1"/>
    <sheet name="Cp_Calculations" sheetId="2" r:id="rId2"/>
    <sheet name="Interactive_Plotter" sheetId="3" r:id="rId3"/>
    <sheet name="Summary_by_Class" sheetId="4" r:id="rId4"/>
    <sheet name="About_and_Instructions" sheetId="5" r:id="rId5"/>
  </sheets>
  <definedNames>
    <definedName name="_xlnm._FilterDatabase" localSheetId="1" hidden="1">Cp_Calculations!$A$1:$P$201</definedName>
    <definedName name="_xlnm._FilterDatabase" localSheetId="0" hidden="1">Cp_Database_200!$A$1:$O$201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2" i="3"/>
  <c r="E11" i="3"/>
  <c r="E10" i="3"/>
  <c r="E9" i="3"/>
  <c r="E8" i="3"/>
  <c r="E7" i="3"/>
  <c r="E6" i="3"/>
  <c r="C10" i="3"/>
  <c r="C9" i="3"/>
  <c r="C8" i="3"/>
  <c r="C7" i="3"/>
  <c r="C6" i="3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<sst xmlns="http://schemas.openxmlformats.org/spreadsheetml/2006/main" count="1318" uniqueCount="515">
  <si>
    <t>sr. no.</t>
  </si>
  <si>
    <t>Materials</t>
  </si>
  <si>
    <t>formula</t>
  </si>
  <si>
    <t>Cp model</t>
  </si>
  <si>
    <t>Category</t>
  </si>
  <si>
    <t>A</t>
  </si>
  <si>
    <t>B</t>
  </si>
  <si>
    <t>C</t>
  </si>
  <si>
    <t>D</t>
  </si>
  <si>
    <t>E</t>
  </si>
  <si>
    <t>Tmin(k)</t>
  </si>
  <si>
    <t>Tmax(k)</t>
  </si>
  <si>
    <t>Unit</t>
  </si>
  <si>
    <t>Source</t>
  </si>
  <si>
    <t>Molar Mass (g/mol)</t>
  </si>
  <si>
    <t>Aluminium</t>
  </si>
  <si>
    <t>Al</t>
  </si>
  <si>
    <t>Shomate</t>
  </si>
  <si>
    <t>Metal</t>
  </si>
  <si>
    <t>J/mol*k</t>
  </si>
  <si>
    <t>NIST Chemistry WebBook</t>
  </si>
  <si>
    <t>Copper</t>
  </si>
  <si>
    <t>Cu</t>
  </si>
  <si>
    <t>Iron</t>
  </si>
  <si>
    <t>Fe</t>
  </si>
  <si>
    <t>Titanium</t>
  </si>
  <si>
    <t>Ti</t>
  </si>
  <si>
    <t>Nickel</t>
  </si>
  <si>
    <t>Ni</t>
  </si>
  <si>
    <t>Chromium</t>
  </si>
  <si>
    <t>Cr</t>
  </si>
  <si>
    <t>Tungsten</t>
  </si>
  <si>
    <t>W</t>
  </si>
  <si>
    <t>Molybdenum</t>
  </si>
  <si>
    <t>Mo</t>
  </si>
  <si>
    <t>Zinc</t>
  </si>
  <si>
    <t>Zn</t>
  </si>
  <si>
    <t>Magnesium</t>
  </si>
  <si>
    <t>Mg</t>
  </si>
  <si>
    <t>Lead</t>
  </si>
  <si>
    <t>Pb</t>
  </si>
  <si>
    <t>Cobalt</t>
  </si>
  <si>
    <t>Co</t>
  </si>
  <si>
    <t>Vanadium</t>
  </si>
  <si>
    <t>V</t>
  </si>
  <si>
    <t>Zirconium</t>
  </si>
  <si>
    <t>Zr</t>
  </si>
  <si>
    <t>Niobium</t>
  </si>
  <si>
    <t>Nb</t>
  </si>
  <si>
    <t>Tantalum</t>
  </si>
  <si>
    <t>Ta</t>
  </si>
  <si>
    <t>Manganese</t>
  </si>
  <si>
    <t>Mn</t>
  </si>
  <si>
    <t>Beryllium</t>
  </si>
  <si>
    <t>Be</t>
  </si>
  <si>
    <t>Hafnium</t>
  </si>
  <si>
    <t>Hf</t>
  </si>
  <si>
    <t>Lithium</t>
  </si>
  <si>
    <t>Li</t>
  </si>
  <si>
    <t>Sodium</t>
  </si>
  <si>
    <t>Na</t>
  </si>
  <si>
    <t>Potassium</t>
  </si>
  <si>
    <t>K</t>
  </si>
  <si>
    <t>Calcium</t>
  </si>
  <si>
    <t>Ca</t>
  </si>
  <si>
    <t>Strontium</t>
  </si>
  <si>
    <t>Sr</t>
  </si>
  <si>
    <t>Barium</t>
  </si>
  <si>
    <t>Ba</t>
  </si>
  <si>
    <t>Aluminium Oxide</t>
  </si>
  <si>
    <t>Al2O3</t>
  </si>
  <si>
    <t>Ceramic (Oxide)</t>
  </si>
  <si>
    <t>Silicon Dioxide (alpha-quartz)</t>
  </si>
  <si>
    <t>SiO2</t>
  </si>
  <si>
    <t>Titanium Dioxide</t>
  </si>
  <si>
    <t>TiO2</t>
  </si>
  <si>
    <t>Zirconium Dioxide</t>
  </si>
  <si>
    <t>ZrO2</t>
  </si>
  <si>
    <t>Refractory &amp; Mineral</t>
  </si>
  <si>
    <t>Magnesium Oxide</t>
  </si>
  <si>
    <t>MgO</t>
  </si>
  <si>
    <t>Calcium Oxide (lime)</t>
  </si>
  <si>
    <t>CaO</t>
  </si>
  <si>
    <t>Iron(II) Oxide</t>
  </si>
  <si>
    <t>FeO</t>
  </si>
  <si>
    <t>Chromium(III) Oxide</t>
  </si>
  <si>
    <t>Cr2O3</t>
  </si>
  <si>
    <t>Cobalt(II) Oxide</t>
  </si>
  <si>
    <t>CoO</t>
  </si>
  <si>
    <t>Tricobalt Tetroxide</t>
  </si>
  <si>
    <t>Co3O4</t>
  </si>
  <si>
    <t>Barium Oxide</t>
  </si>
  <si>
    <t>BaO</t>
  </si>
  <si>
    <t>Strontium Oxide</t>
  </si>
  <si>
    <t>SrO</t>
  </si>
  <si>
    <t>Beryllium Oxide</t>
  </si>
  <si>
    <t>BeO</t>
  </si>
  <si>
    <t>Vanadium(V) Oxide</t>
  </si>
  <si>
    <t>V2O5</t>
  </si>
  <si>
    <t>Vanadium(III) Oxide</t>
  </si>
  <si>
    <t>V2O3</t>
  </si>
  <si>
    <t>Vanadium(IV) Oxide</t>
  </si>
  <si>
    <t>VO2</t>
  </si>
  <si>
    <t>Tungsten(VI) Oxide</t>
  </si>
  <si>
    <t>WO3</t>
  </si>
  <si>
    <t>Tungsten(IV) Oxide</t>
  </si>
  <si>
    <t>WO2</t>
  </si>
  <si>
    <t>Molybdenum(VI) Oxide</t>
  </si>
  <si>
    <t>MoO3</t>
  </si>
  <si>
    <t>Molybdenum(IV) Oxide</t>
  </si>
  <si>
    <t>MoO2</t>
  </si>
  <si>
    <t>Lead(II) Oxide</t>
  </si>
  <si>
    <t>PbO</t>
  </si>
  <si>
    <t>Lead(IV) Oxide</t>
  </si>
  <si>
    <t>PbO2</t>
  </si>
  <si>
    <t>Trilead Tetroxide</t>
  </si>
  <si>
    <t>Pb3O4</t>
  </si>
  <si>
    <t>Copper(II) Oxide</t>
  </si>
  <si>
    <t>CuO</t>
  </si>
  <si>
    <t>Semiconductor</t>
  </si>
  <si>
    <t>Copper(I) Oxide</t>
  </si>
  <si>
    <t>Cu2O</t>
  </si>
  <si>
    <t>Germanium(IV) Oxide</t>
  </si>
  <si>
    <t>GeO2</t>
  </si>
  <si>
    <t>Niobium(V) Oxide</t>
  </si>
  <si>
    <t>Nb2O5</t>
  </si>
  <si>
    <t>Tantalum(V) Oxide</t>
  </si>
  <si>
    <t>Ta2O5</t>
  </si>
  <si>
    <t>Boron Trioxide</t>
  </si>
  <si>
    <t>B2O3</t>
  </si>
  <si>
    <t>Silicon Carbide</t>
  </si>
  <si>
    <t>SiC</t>
  </si>
  <si>
    <t>Ceramic (Carbide)</t>
  </si>
  <si>
    <t>Boron Carbide</t>
  </si>
  <si>
    <t>B4C</t>
  </si>
  <si>
    <t>Zirconium Carbide</t>
  </si>
  <si>
    <t>ZrC</t>
  </si>
  <si>
    <t>Chromium Carbide (trichromium dicarbide)</t>
  </si>
  <si>
    <t>Cr3C2</t>
  </si>
  <si>
    <t>Chromium Carbide (heptachromium tricarbide)</t>
  </si>
  <si>
    <t>Cr7C3</t>
  </si>
  <si>
    <t>Niobium Carbide</t>
  </si>
  <si>
    <t>NbC</t>
  </si>
  <si>
    <t>Aluminium Nitride</t>
  </si>
  <si>
    <t>AlN</t>
  </si>
  <si>
    <t>Ceramic (Nitride)</t>
  </si>
  <si>
    <t>Titanium Nitride</t>
  </si>
  <si>
    <t>TiN</t>
  </si>
  <si>
    <t>Boron Nitride</t>
  </si>
  <si>
    <t>BN</t>
  </si>
  <si>
    <t>Silicon Nitride</t>
  </si>
  <si>
    <t>Si3N4</t>
  </si>
  <si>
    <t>Zirconium Nitride</t>
  </si>
  <si>
    <t>ZrN</t>
  </si>
  <si>
    <t>Dichromium Nitride</t>
  </si>
  <si>
    <t>Cr2N</t>
  </si>
  <si>
    <t>Magnesium Nitride</t>
  </si>
  <si>
    <t>Mg3N2</t>
  </si>
  <si>
    <t>Titanium Diboride</t>
  </si>
  <si>
    <t>TiB2</t>
  </si>
  <si>
    <t>Ceramic (Boride)</t>
  </si>
  <si>
    <t>Zirconium Diboride</t>
  </si>
  <si>
    <t>ZrB2</t>
  </si>
  <si>
    <t>Magnesium Silicide</t>
  </si>
  <si>
    <t>Mg2Si</t>
  </si>
  <si>
    <t>Ceramic (Silicide)</t>
  </si>
  <si>
    <t>Silicon</t>
  </si>
  <si>
    <t>Si</t>
  </si>
  <si>
    <t>Lead(II) Sulfide</t>
  </si>
  <si>
    <t>PbS</t>
  </si>
  <si>
    <t>Molybdenum Disulfide</t>
  </si>
  <si>
    <t>MoS2</t>
  </si>
  <si>
    <t>Mullite</t>
  </si>
  <si>
    <t>Al6Si2O13</t>
  </si>
  <si>
    <t>Spinel (magnesium aluminate)</t>
  </si>
  <si>
    <t>MgAl2O4</t>
  </si>
  <si>
    <t>Zircon (zirconium silicate)</t>
  </si>
  <si>
    <t>ZrSiO4</t>
  </si>
  <si>
    <t>Andalusite</t>
  </si>
  <si>
    <t>Al2SiO5</t>
  </si>
  <si>
    <t>Kyanite</t>
  </si>
  <si>
    <t>Sodium Chloride</t>
  </si>
  <si>
    <t>NaCl</t>
  </si>
  <si>
    <t>Halide &amp; Salt</t>
  </si>
  <si>
    <t>Potassium Chloride</t>
  </si>
  <si>
    <t>KCl</t>
  </si>
  <si>
    <t>Lithium Fluoride</t>
  </si>
  <si>
    <t>LiF</t>
  </si>
  <si>
    <t>Sodium Fluoride</t>
  </si>
  <si>
    <t>NaF</t>
  </si>
  <si>
    <t>Potassium Fluoride</t>
  </si>
  <si>
    <t>KF</t>
  </si>
  <si>
    <t>Calcium Fluoride</t>
  </si>
  <si>
    <t>CaF2</t>
  </si>
  <si>
    <t>Magnesium Fluoride</t>
  </si>
  <si>
    <t>MgF2</t>
  </si>
  <si>
    <t>Barium Fluoride</t>
  </si>
  <si>
    <t>BaF2</t>
  </si>
  <si>
    <t>Strontium Fluoride</t>
  </si>
  <si>
    <t>SrF2</t>
  </si>
  <si>
    <t>Cesium Chloride</t>
  </si>
  <si>
    <t>CsCl</t>
  </si>
  <si>
    <t>Potassium Bromide</t>
  </si>
  <si>
    <t>KBr</t>
  </si>
  <si>
    <t>Potassium Iodide</t>
  </si>
  <si>
    <t>KI</t>
  </si>
  <si>
    <t>Sodium Bromide</t>
  </si>
  <si>
    <t>NaBr</t>
  </si>
  <si>
    <t>Sodium Iodide</t>
  </si>
  <si>
    <t>NaI</t>
  </si>
  <si>
    <t>Lithium Chloride</t>
  </si>
  <si>
    <t>LiCl</t>
  </si>
  <si>
    <t>Lithium Bromide</t>
  </si>
  <si>
    <t>LiBr</t>
  </si>
  <si>
    <t>Lead(II) Chloride (cotunnite)</t>
  </si>
  <si>
    <t>PbCl2</t>
  </si>
  <si>
    <t>Lead(II) Fluoride</t>
  </si>
  <si>
    <t>PbF2</t>
  </si>
  <si>
    <t>Magnesium Carbonate (magnesite)</t>
  </si>
  <si>
    <t>MgCO3</t>
  </si>
  <si>
    <t>Carbonate</t>
  </si>
  <si>
    <t>Magnesium Sulfate</t>
  </si>
  <si>
    <t>MgSO4</t>
  </si>
  <si>
    <t>Sulfate</t>
  </si>
  <si>
    <t>Sodium Sulfate</t>
  </si>
  <si>
    <t>Na2SO4</t>
  </si>
  <si>
    <t>Potassium Sulfate</t>
  </si>
  <si>
    <t>K2SO4</t>
  </si>
  <si>
    <t>Sodium Metasilicate</t>
  </si>
  <si>
    <t>Na2SiO3</t>
  </si>
  <si>
    <t>Potassium Metasilicate</t>
  </si>
  <si>
    <t>K2SiO3</t>
  </si>
  <si>
    <t>Lithium Metasilicate</t>
  </si>
  <si>
    <t>Li2SiO3</t>
  </si>
  <si>
    <t>Oxygen</t>
  </si>
  <si>
    <t>O2</t>
  </si>
  <si>
    <t>Technological Fluid &amp; Gas</t>
  </si>
  <si>
    <t>Nitrogen</t>
  </si>
  <si>
    <t>N2</t>
  </si>
  <si>
    <t>Hydrogen</t>
  </si>
  <si>
    <t>H2</t>
  </si>
  <si>
    <t>Carbon Monoxide</t>
  </si>
  <si>
    <t>CO</t>
  </si>
  <si>
    <t>Carbon Dioxide</t>
  </si>
  <si>
    <t>CO2</t>
  </si>
  <si>
    <t>Water / Steam</t>
  </si>
  <si>
    <t>H2O</t>
  </si>
  <si>
    <t>Ammonia</t>
  </si>
  <si>
    <t>NH3</t>
  </si>
  <si>
    <t>Methane</t>
  </si>
  <si>
    <t>CH4</t>
  </si>
  <si>
    <t>Argon</t>
  </si>
  <si>
    <t>Ar</t>
  </si>
  <si>
    <t>Helium</t>
  </si>
  <si>
    <t>He</t>
  </si>
  <si>
    <t>Chlorine</t>
  </si>
  <si>
    <t>Cl2</t>
  </si>
  <si>
    <t>Fluorine</t>
  </si>
  <si>
    <t>F2</t>
  </si>
  <si>
    <t>Sulfur Dioxide</t>
  </si>
  <si>
    <t>SO2</t>
  </si>
  <si>
    <t>Nitric Oxide</t>
  </si>
  <si>
    <t>NO</t>
  </si>
  <si>
    <t>Nitrogen Dioxide</t>
  </si>
  <si>
    <t>NO2</t>
  </si>
  <si>
    <t>Lithium Oxide</t>
  </si>
  <si>
    <t>Li2O</t>
  </si>
  <si>
    <t>Sodium Oxide</t>
  </si>
  <si>
    <t>Na2O</t>
  </si>
  <si>
    <t>Potassium Oxide</t>
  </si>
  <si>
    <t>K2O</t>
  </si>
  <si>
    <t>Calcium Hydroxide</t>
  </si>
  <si>
    <t>Ca(OH)2</t>
  </si>
  <si>
    <t>Hydroxide / Mineral</t>
  </si>
  <si>
    <t>Magnesium Hydroxide</t>
  </si>
  <si>
    <t>Mg(OH)2</t>
  </si>
  <si>
    <t>Sodium Hydroxide</t>
  </si>
  <si>
    <t>NaOH</t>
  </si>
  <si>
    <t>Potassium Hydroxide</t>
  </si>
  <si>
    <t>KOH</t>
  </si>
  <si>
    <t>Lithium Hydroxide</t>
  </si>
  <si>
    <t>LiOH</t>
  </si>
  <si>
    <t>Tantalum Dicarbide</t>
  </si>
  <si>
    <t>Ta2C</t>
  </si>
  <si>
    <t>Ethylene</t>
  </si>
  <si>
    <t>C2H4</t>
  </si>
  <si>
    <t>Acetylene</t>
  </si>
  <si>
    <t>C2H2</t>
  </si>
  <si>
    <t>Formaldehyde</t>
  </si>
  <si>
    <t>CH2O</t>
  </si>
  <si>
    <t>Dichloromethane</t>
  </si>
  <si>
    <t>CH2Cl2</t>
  </si>
  <si>
    <t>Chloroform</t>
  </si>
  <si>
    <t>CHCl3</t>
  </si>
  <si>
    <t>Carbon Tetrachloride</t>
  </si>
  <si>
    <t>CCl4</t>
  </si>
  <si>
    <t>Tetrafluoroethylene</t>
  </si>
  <si>
    <t>C2F4</t>
  </si>
  <si>
    <t>Sulfur Trioxide</t>
  </si>
  <si>
    <t>SO3</t>
  </si>
  <si>
    <t>Hydrogen Sulfide</t>
  </si>
  <si>
    <t>H2S</t>
  </si>
  <si>
    <t>Carbonyl Sulfide</t>
  </si>
  <si>
    <t>COS</t>
  </si>
  <si>
    <t>Carbon Disulfide</t>
  </si>
  <si>
    <t>CS2</t>
  </si>
  <si>
    <t>Hydrogen Chloride</t>
  </si>
  <si>
    <t>HCl</t>
  </si>
  <si>
    <t>Hydrogen Fluoride</t>
  </si>
  <si>
    <t>HF</t>
  </si>
  <si>
    <t>Hydrogen Bromide</t>
  </si>
  <si>
    <t>HBr</t>
  </si>
  <si>
    <t>Hydrogen Iodide</t>
  </si>
  <si>
    <t>HI</t>
  </si>
  <si>
    <t>Sulfur Hexafluoride</t>
  </si>
  <si>
    <t>SF6</t>
  </si>
  <si>
    <t>Nitrogen Trifluoride</t>
  </si>
  <si>
    <t>NF3</t>
  </si>
  <si>
    <t>Boron Trifluoride</t>
  </si>
  <si>
    <t>BF3</t>
  </si>
  <si>
    <t>Boron Trichloride</t>
  </si>
  <si>
    <t>BCl3</t>
  </si>
  <si>
    <t>Silicon Tetrafluoride</t>
  </si>
  <si>
    <t>SiF4</t>
  </si>
  <si>
    <t>Silicon Tetrachloride</t>
  </si>
  <si>
    <t>SiCl4</t>
  </si>
  <si>
    <t>Titanium Tetrachloride</t>
  </si>
  <si>
    <t>TiCl4</t>
  </si>
  <si>
    <t>Nitrous Oxide</t>
  </si>
  <si>
    <t>N2O</t>
  </si>
  <si>
    <t>Dinitrogen Tetroxide</t>
  </si>
  <si>
    <t>N2O4</t>
  </si>
  <si>
    <t>Dinitrogen Pentoxide</t>
  </si>
  <si>
    <t>N2O5</t>
  </si>
  <si>
    <t>Iron(II) Sulfate</t>
  </si>
  <si>
    <t>FeSO4</t>
  </si>
  <si>
    <t>Copper(II) Sulfate</t>
  </si>
  <si>
    <t>CuSO4</t>
  </si>
  <si>
    <t>Zinc Sulfate</t>
  </si>
  <si>
    <t>ZnSO4</t>
  </si>
  <si>
    <t>Cobalt(II) Sulfate</t>
  </si>
  <si>
    <t>CoSO4</t>
  </si>
  <si>
    <t>Lithium Sulfate</t>
  </si>
  <si>
    <t>Li2SO4</t>
  </si>
  <si>
    <t>Sodium Carbonate</t>
  </si>
  <si>
    <t>Na2CO3</t>
  </si>
  <si>
    <t>Potassium Carbonate</t>
  </si>
  <si>
    <t>K2CO3</t>
  </si>
  <si>
    <t>Lithium Carbonate</t>
  </si>
  <si>
    <t>Li2CO3</t>
  </si>
  <si>
    <t>Ammonium Chloride</t>
  </si>
  <si>
    <t>NH4Cl</t>
  </si>
  <si>
    <t>Aluminium Chloride</t>
  </si>
  <si>
    <t>AlCl3</t>
  </si>
  <si>
    <t>Aluminium Fluoride</t>
  </si>
  <si>
    <t>AlF3</t>
  </si>
  <si>
    <t>Iron(III) Chloride</t>
  </si>
  <si>
    <t>FeCl3</t>
  </si>
  <si>
    <t>Iron(II) Chloride</t>
  </si>
  <si>
    <t>FeCl2</t>
  </si>
  <si>
    <t>Copper(II) Chloride</t>
  </si>
  <si>
    <t>CuCl2</t>
  </si>
  <si>
    <t>Copper(I) Chloride</t>
  </si>
  <si>
    <t>CuCl</t>
  </si>
  <si>
    <t>Nickel(II) Chloride</t>
  </si>
  <si>
    <t>NiCl2</t>
  </si>
  <si>
    <t>Cobalt(II) Chloride</t>
  </si>
  <si>
    <t>CoCl2</t>
  </si>
  <si>
    <t>Titanium(III) Chloride</t>
  </si>
  <si>
    <t>TiCl3</t>
  </si>
  <si>
    <t>Titanium(II) Chloride</t>
  </si>
  <si>
    <t>TiCl2</t>
  </si>
  <si>
    <t>Zirconium Tetrachloride</t>
  </si>
  <si>
    <t>ZrCl4</t>
  </si>
  <si>
    <t>Niobium Pentachloride</t>
  </si>
  <si>
    <t>NbCl5</t>
  </si>
  <si>
    <t>Tantalum Pentachloride</t>
  </si>
  <si>
    <t>TaCl5</t>
  </si>
  <si>
    <t>Molybdenum Pentachloride</t>
  </si>
  <si>
    <t>MoCl5</t>
  </si>
  <si>
    <t>Tungsten Hexachloride</t>
  </si>
  <si>
    <t>WCl6</t>
  </si>
  <si>
    <t>Beryllium Fluoride</t>
  </si>
  <si>
    <t>BeF2</t>
  </si>
  <si>
    <t>Beryllium Chloride</t>
  </si>
  <si>
    <t>BeCl2</t>
  </si>
  <si>
    <t>Magnesium Chloride</t>
  </si>
  <si>
    <t>MgCl2</t>
  </si>
  <si>
    <t>Calcium Chloride</t>
  </si>
  <si>
    <t>CaCl2</t>
  </si>
  <si>
    <t>Strontium Chloride</t>
  </si>
  <si>
    <t>SrCl2</t>
  </si>
  <si>
    <t>Barium Chloride</t>
  </si>
  <si>
    <t>BaCl2</t>
  </si>
  <si>
    <t>Mercury(I) Chloride</t>
  </si>
  <si>
    <t>Hg2Cl2</t>
  </si>
  <si>
    <t>Mercury(II) Chloride</t>
  </si>
  <si>
    <t>HgCl2</t>
  </si>
  <si>
    <t>Silicon Tetrabromide</t>
  </si>
  <si>
    <t>SiBr4</t>
  </si>
  <si>
    <t>Tetrafluoromethane / R-14</t>
  </si>
  <si>
    <t>CF4</t>
  </si>
  <si>
    <t>Hexafluoroethane / R-116</t>
  </si>
  <si>
    <t>C2F6</t>
  </si>
  <si>
    <t>Phosphorus Trifluoride</t>
  </si>
  <si>
    <t>PF3</t>
  </si>
  <si>
    <t>Phosphorus Trichloride</t>
  </si>
  <si>
    <t>PCl3</t>
  </si>
  <si>
    <t>Phosphorus Pentachloride</t>
  </si>
  <si>
    <t>PCl5</t>
  </si>
  <si>
    <t>Phosphorus Oxychloride</t>
  </si>
  <si>
    <t>POCl3</t>
  </si>
  <si>
    <t>Sulfuryl Chloride</t>
  </si>
  <si>
    <t>SO2Cl2</t>
  </si>
  <si>
    <t>Sulfur Tetrafluoride</t>
  </si>
  <si>
    <t>SF4</t>
  </si>
  <si>
    <t>Molybdenum Hexafluoride</t>
  </si>
  <si>
    <t>MoF6</t>
  </si>
  <si>
    <t>Tungsten Hexafluoride</t>
  </si>
  <si>
    <t>WF6</t>
  </si>
  <si>
    <t>Boron (beta-rhombohedral)</t>
  </si>
  <si>
    <t>Phosphorus (white, alpha)</t>
  </si>
  <si>
    <t>P4</t>
  </si>
  <si>
    <t>Sulfur (rhombic, alpha)</t>
  </si>
  <si>
    <t>S8</t>
  </si>
  <si>
    <t>Iodine (solid, rhombic)</t>
  </si>
  <si>
    <t>I2</t>
  </si>
  <si>
    <t>Bromine</t>
  </si>
  <si>
    <t>Br2</t>
  </si>
  <si>
    <t>Tmin (K)</t>
  </si>
  <si>
    <t>Tmax (K)</t>
  </si>
  <si>
    <t>Cp @ 298.15 K [J/(mol*K)]</t>
  </si>
  <si>
    <t>Cp @ 400 K [J/(mol*K)]</t>
  </si>
  <si>
    <t>Cp @ 500 K [J/(mol*K)]</t>
  </si>
  <si>
    <t>Cp @ 600 K [J/(mol*K)]</t>
  </si>
  <si>
    <t>Cp @ 700 K [J/(mol*K)]</t>
  </si>
  <si>
    <t>Cp @ 800 K [J/(mol*K)]</t>
  </si>
  <si>
    <t>Cp @ 1000 K [J/(mol*K)]</t>
  </si>
  <si>
    <t>Cp @ 1200 K [J/(mol*K)]</t>
  </si>
  <si>
    <t>Cp @ 1500 K [J/(mol*K)]</t>
  </si>
  <si>
    <t>Cp @ 2000 K [J/(mol*K)]</t>
  </si>
  <si>
    <t>MCR 202: Materials Characterization &amp; Thermodynamics</t>
  </si>
  <si>
    <t>Interactive Material Specific Heat (Cp vs. T) Calculator &amp; Live Plotter</t>
  </si>
  <si>
    <t>Enter Material Sr. No. (1 - 200):</t>
  </si>
  <si>
    <t>Material Name:</t>
  </si>
  <si>
    <t>Chemical Formula:</t>
  </si>
  <si>
    <t>Material Class / Category:</t>
  </si>
  <si>
    <t>Valid Range [Tmin - Tmax]:</t>
  </si>
  <si>
    <t>Molar Mass (g/mol):</t>
  </si>
  <si>
    <t>NIST Parameters:</t>
  </si>
  <si>
    <t>A:</t>
  </si>
  <si>
    <t>B:</t>
  </si>
  <si>
    <t>C:</t>
  </si>
  <si>
    <t>D:</t>
  </si>
  <si>
    <t>E:</t>
  </si>
  <si>
    <t>Tmin:</t>
  </si>
  <si>
    <t>Tmax:</t>
  </si>
  <si>
    <t>Temperature T (K)</t>
  </si>
  <si>
    <t>t = T/1000</t>
  </si>
  <si>
    <t>Molar Cp [J/(mol*K)]</t>
  </si>
  <si>
    <t>Specific cp [J/(g*K)]</t>
  </si>
  <si>
    <t>Classification Summary of 200 Engineering Materials</t>
  </si>
  <si>
    <t>Breakdown across metallurgical, ceramic, semiconductor, refractory, and chemical classes</t>
  </si>
  <si>
    <t>Material Class / Category</t>
  </si>
  <si>
    <t>Count</t>
  </si>
  <si>
    <t>Key Chemical Examples</t>
  </si>
  <si>
    <t>Engineering Significance / Industrial Applications</t>
  </si>
  <si>
    <t>Pure elements &amp; refractory metals (Al, Cu, Fe, Ti, Ni, W, Mo, Cr, Zr, etc.)</t>
  </si>
  <si>
    <t>Structural alloys, electrical conductors, aerospace materials</t>
  </si>
  <si>
    <t>Engineered binary oxides (Al2O3, SiO2, TiO2, FeO, WO3, CoO, etc.)</t>
  </si>
  <si>
    <t>Abrasives, electronic ceramics, corrosion barriers</t>
  </si>
  <si>
    <t>High-temp oxides &amp; silicates (ZrO2, MgO, CaO, Mullite, Spinel, Zircon)</t>
  </si>
  <si>
    <t>Furnace linings, metallurgical crucibles, thermal barrier coatings</t>
  </si>
  <si>
    <t>Electronic &amp; optoelectronic materials (Si, CuO, Cu2O, PbS, MoS2, B, P4, S8)</t>
  </si>
  <si>
    <t>Photovoltaics, semiconductors, 2D materials, thermoelectric devices</t>
  </si>
  <si>
    <t>Ultra-hard transition metal carbides (SiC, B4C, ZrC, Cr3C2, Cr7C3, NbC, Ta2C)</t>
  </si>
  <si>
    <t>Cutting tools, wear-resistant parts, armor plating</t>
  </si>
  <si>
    <t>High-hardness advanced nitrides (AlN, TiN, BN, Si3N4, ZrN, Cr2N, Mg3N2)</t>
  </si>
  <si>
    <t>Hard coatings, microelectronics heat sinks, high-temp bearings</t>
  </si>
  <si>
    <t>Ultra-high temperature ceramics (TiB2, ZrB2)</t>
  </si>
  <si>
    <t>Hypersonic leading edges, molten metal handling, cutting tips</t>
  </si>
  <si>
    <t>High-temperature oxidation-resistant silicides (Mg2Si)</t>
  </si>
  <si>
    <t>Heating elements, aerospace coatings</t>
  </si>
  <si>
    <t>Alkali &amp; alkaline earth halides (NaCl, KCl, CaF2, LiF, AgCl, CsCl, PbI2, etc.)</t>
  </si>
  <si>
    <t>Optical windows, fluxing agents, molten salt electrolytes</t>
  </si>
  <si>
    <t>Inorganic carbonates (MgCO3, Na2CO3, K2CO3, Li2CO3)</t>
  </si>
  <si>
    <t>Glass production flux, cement feedstock, chemical buffering</t>
  </si>
  <si>
    <t>Inorganic sulfates (MgSO4, Na2SO4, K2SO4, FeSO4, CuSO4, ZnSO4, etc.)</t>
  </si>
  <si>
    <t>Chemical processing, mineral processing, electroplating salts</t>
  </si>
  <si>
    <t>Hydrated bases &amp; minerals (Ca(OH)2, Mg(OH)2, NaOH, KOH, LiOH)</t>
  </si>
  <si>
    <t>Refractory binders, desulfurization, mineral extraction</t>
  </si>
  <si>
    <t>Industrial gases &amp; working fluids (O2, N2, H2, H2O, NH3, CH4, Ar, Cl2, etc.)</t>
  </si>
  <si>
    <t>Metallurgical atmospheres, CVD precursors, cooling &amp; process fluids</t>
  </si>
  <si>
    <t>TOTAL MATERIALS</t>
  </si>
  <si>
    <t>Full NIST Chemistry WebBook Standard Database</t>
  </si>
  <si>
    <t>IIT (BHU) Varanasi - Department of Metallurgical Engineering</t>
  </si>
  <si>
    <t>MCR 202: Materials Characterization &amp; Thermodynamics | Specific Heat Database Project</t>
  </si>
  <si>
    <t>Section / Feature</t>
  </si>
  <si>
    <t>Details and Documentation</t>
  </si>
  <si>
    <t>Project Objective</t>
  </si>
  <si>
    <t>Develop a comprehensive, standardized thermodynamic database and computational platform for calculating and analyzing specific heat capacity at constant pressure (Cp vs. T) for 200 distinct engineering materials.</t>
  </si>
  <si>
    <t>Thermodynamic Model</t>
  </si>
  <si>
    <t>NIST Shomate Polynomial Equation: Cp(T) = A + B*t + C*t^2 + D*t^3 + E/(t^2) [J/(mol*K)], where t = T / 1000 and T is temperature in Kelvin.</t>
  </si>
  <si>
    <t>Valid Range [Tmin, Tmax]</t>
  </si>
  <si>
    <t>Regression coefficients A, B, C, D, E are certified within [Tmin, Tmax] from the NIST Chemistry WebBook and NIST-JANAF Thermochemical Tables.</t>
  </si>
  <si>
    <t>Sheet 1: Cp_Database_200</t>
  </si>
  <si>
    <t>Contains the complete master table of 200 materials with chemical formulas, material classes, NIST coefficients, temperature limits, and molar masses. Filterable and searchable.</t>
  </si>
  <si>
    <t>Sheet 2: Cp_Calculations</t>
  </si>
  <si>
    <t>Evaluates Cp across standard temperature benchmarks (298.15 K to 2000 K) using live Excel formulas. Shows '-' when outside valid range.</t>
  </si>
  <si>
    <t>Sheet 3: Interactive_Plotter</t>
  </si>
  <si>
    <t>Interactive visual tool. Enter any Sr. No. (1-200) in cell C5 to dynamically update material properties, temperature curve points, and the live embedded Excel chart.</t>
  </si>
  <si>
    <t>Sheet 4: Summary_by_Class</t>
  </si>
  <si>
    <t>Categorical breakdown of materials across Metals, Advanced Ceramics (Oxides, Carbides, Nitrides, Borides, Silicides), Semiconductors, Refractories, Halides, Salts, Carbonates, Sulfates, Hydroxides, and Technological Fluids.</t>
  </si>
  <si>
    <t>Companion Platform</t>
  </si>
  <si>
    <t>Interactive web dashboard available in the folder: interactive_cp_platform.html (run by double-clicking in any web browser) and Jupyter notebook: MCR202_Interactive_Cp_Platform.ipynb.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</si>
</sst>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4"/>
      <color rgb="FF1B365D"/>
      <name val="Aptos Narrow"/>
      <family val="2"/>
      <scheme val="minor"/>
    </font>
    <font>
      <i/>
      <sz val="11"/>
      <color rgb="FF243347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5"/>
      <color rgb="FF1B365D"/>
      <name val="Aptos Narrow"/>
      <family val="2"/>
      <scheme val="minor"/>
    </font>
    <font>
      <b/>
      <sz val="11"/>
      <color rgb="FF243347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F9F5F1"/>
        <bgColor indexed="64"/>
      </patternFill>
    </fill>
    <fill>
      <patternFill patternType="solid">
        <fgColor rgb="FFFFEEC7"/>
        <bgColor indexed="64"/>
      </patternFill>
    </fill>
    <fill>
      <patternFill patternType="solid">
        <fgColor rgb="FFF0E8E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1D5CB"/>
      </left>
      <right style="thin">
        <color rgb="FFE1D5CB"/>
      </right>
      <top style="thin">
        <color rgb="FFE1D5CB"/>
      </top>
      <bottom style="thin">
        <color rgb="FFE1D5C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0" fillId="5" borderId="2" xfId="0" applyFill="1" applyBorder="1"/>
    <xf numFmtId="0" fontId="1" fillId="5" borderId="2" xfId="0" applyFont="1" applyFill="1" applyBorder="1"/>
    <xf numFmtId="0" fontId="6" fillId="6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8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7" borderId="1" xfId="0" applyFont="1" applyFill="1" applyBorder="1"/>
    <xf numFmtId="0" fontId="1" fillId="0" borderId="1" xfId="0" applyFont="1" applyBorder="1"/>
    <xf numFmtId="0" fontId="0" fillId="0" borderId="1" xfId="0" applyBorder="1"/>
    <xf numFmtId="0" fontId="9" fillId="0" borderId="0" xfId="0" applyFont="1"/>
    <xf numFmtId="0" fontId="10" fillId="0" borderId="0" xfId="0" applyFont="1"/>
    <xf numFmtId="0" fontId="7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IN"/>
              <a:t>Material Specific Heat: Cp vs. Temperature (K)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Specific Heat (Cp)</c:v>
          </c:tx>
          <c:spPr>
            <a:ln w="31750"/>
          </c:spPr>
          <c:marker>
            <c:symbol val="none"/>
          </c:marker>
          <c:xVal>
            <c:numRef>
              <c:f>Interactive_Plotter!$B$15:$B$39</c:f>
              <c:numCache>
                <c:formatCode>0.0</c:formatCode>
                <c:ptCount val="25"/>
                <c:pt idx="0">
                  <c:v>298</c:v>
                </c:pt>
                <c:pt idx="1">
                  <c:v>324.5</c:v>
                </c:pt>
                <c:pt idx="2">
                  <c:v>350.9</c:v>
                </c:pt>
                <c:pt idx="3">
                  <c:v>377.4</c:v>
                </c:pt>
                <c:pt idx="4">
                  <c:v>403.8</c:v>
                </c:pt>
                <c:pt idx="5">
                  <c:v>430.3</c:v>
                </c:pt>
                <c:pt idx="6">
                  <c:v>456.8</c:v>
                </c:pt>
                <c:pt idx="7">
                  <c:v>483.2</c:v>
                </c:pt>
                <c:pt idx="8">
                  <c:v>509.7</c:v>
                </c:pt>
                <c:pt idx="9">
                  <c:v>536.1</c:v>
                </c:pt>
                <c:pt idx="10">
                  <c:v>562.6</c:v>
                </c:pt>
                <c:pt idx="11">
                  <c:v>589</c:v>
                </c:pt>
                <c:pt idx="12">
                  <c:v>615.5</c:v>
                </c:pt>
                <c:pt idx="13">
                  <c:v>642</c:v>
                </c:pt>
                <c:pt idx="14">
                  <c:v>668.4</c:v>
                </c:pt>
                <c:pt idx="15">
                  <c:v>694.9</c:v>
                </c:pt>
                <c:pt idx="16">
                  <c:v>721.3</c:v>
                </c:pt>
                <c:pt idx="17">
                  <c:v>747.8</c:v>
                </c:pt>
                <c:pt idx="18">
                  <c:v>774.3</c:v>
                </c:pt>
                <c:pt idx="19">
                  <c:v>800.7</c:v>
                </c:pt>
                <c:pt idx="20">
                  <c:v>827.2</c:v>
                </c:pt>
                <c:pt idx="21">
                  <c:v>853.6</c:v>
                </c:pt>
                <c:pt idx="22">
                  <c:v>880.1</c:v>
                </c:pt>
                <c:pt idx="23">
                  <c:v>906.5</c:v>
                </c:pt>
                <c:pt idx="24">
                  <c:v>933</c:v>
                </c:pt>
              </c:numCache>
            </c:numRef>
          </c:xVal>
          <c:yVal>
            <c:numRef>
              <c:f>Interactive_Plotter!$D$15:$D$39</c:f>
              <c:numCache>
                <c:formatCode>0.000</c:formatCode>
                <c:ptCount val="25"/>
                <c:pt idx="0">
                  <c:v>24.202999999999999</c:v>
                </c:pt>
                <c:pt idx="1">
                  <c:v>24.716000000000001</c:v>
                </c:pt>
                <c:pt idx="2">
                  <c:v>25.138999999999999</c:v>
                </c:pt>
                <c:pt idx="3">
                  <c:v>25.501999999999999</c:v>
                </c:pt>
                <c:pt idx="4">
                  <c:v>25.823</c:v>
                </c:pt>
                <c:pt idx="5">
                  <c:v>26.119</c:v>
                </c:pt>
                <c:pt idx="6">
                  <c:v>26.399000000000001</c:v>
                </c:pt>
                <c:pt idx="7">
                  <c:v>26.67</c:v>
                </c:pt>
                <c:pt idx="8">
                  <c:v>26.939</c:v>
                </c:pt>
                <c:pt idx="9">
                  <c:v>27.21</c:v>
                </c:pt>
                <c:pt idx="10">
                  <c:v>27.486000000000001</c:v>
                </c:pt>
                <c:pt idx="11">
                  <c:v>27.77</c:v>
                </c:pt>
                <c:pt idx="12">
                  <c:v>28.065999999999999</c:v>
                </c:pt>
                <c:pt idx="13">
                  <c:v>28.375</c:v>
                </c:pt>
                <c:pt idx="14">
                  <c:v>28.696999999999999</c:v>
                </c:pt>
                <c:pt idx="15">
                  <c:v>29.036000000000001</c:v>
                </c:pt>
                <c:pt idx="16">
                  <c:v>29.39</c:v>
                </c:pt>
                <c:pt idx="17">
                  <c:v>29.763999999999999</c:v>
                </c:pt>
                <c:pt idx="18">
                  <c:v>30.157</c:v>
                </c:pt>
                <c:pt idx="19">
                  <c:v>30.568999999999999</c:v>
                </c:pt>
                <c:pt idx="20">
                  <c:v>31.001999999999999</c:v>
                </c:pt>
                <c:pt idx="21">
                  <c:v>31.456</c:v>
                </c:pt>
                <c:pt idx="22">
                  <c:v>31.933</c:v>
                </c:pt>
                <c:pt idx="23">
                  <c:v>32.430999999999997</c:v>
                </c:pt>
                <c:pt idx="24">
                  <c:v>32.954000000000001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6-49E9-9FBD-8A38AEB85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16847"/>
        <c:axId val="727023439"/>
      </c:scatterChart>
      <c:valAx>
        <c:axId val="124881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IN"/>
                  <a:t>Temperature, T (Kelvin)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27023439"/>
        <c:crosses val="autoZero"/>
        <c:crossBetween val="midCat"/>
      </c:valAx>
      <c:valAx>
        <c:axId val="727023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IN"/>
                  <a:t>Specific Heat Capacity, Cp [J/(mol*K)]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2488168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558800</xdr:colOff>
      <xdr:row>4</xdr:row>
      <xdr:rowOff>111760</xdr:rowOff>
    </xdr:from>
    <xdr:to>
      <xdr:col>19</xdr:col>
      <xdr:colOff>355600</xdr:colOff>
      <xdr:row>28</xdr:row>
      <xdr:rowOff>157480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4A67D-D8D2-8C4D-E7D6-04AAB820B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260D-958B-4DF3-A7E5-0949860759BF}">
  <dimension ref="A1:O20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1.77734375" customWidth="1"/>
    <col min="2" max="2" width="44.6640625" customWidth="1"/>
    <col min="3" max="3" width="12.5546875" customWidth="1"/>
    <col min="4" max="4" width="12.88671875" customWidth="1"/>
    <col min="5" max="5" width="26.33203125" customWidth="1"/>
    <col min="6" max="6" width="15.21875" customWidth="1"/>
    <col min="7" max="7" width="14.44140625" customWidth="1"/>
    <col min="8" max="8" width="16.33203125" customWidth="1"/>
    <col min="9" max="9" width="14.44140625" customWidth="1"/>
    <col min="10" max="10" width="12.44140625" customWidth="1"/>
    <col min="11" max="11" width="11.77734375" customWidth="1"/>
    <col min="12" max="12" width="11.88671875" customWidth="1"/>
    <col min="13" max="13" width="11.77734375" customWidth="1"/>
    <col min="14" max="14" width="26" customWidth="1"/>
    <col min="15" max="15" width="22.88671875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x14ac:dyDescent="0.3">
      <c r="A2" s="2">
        <v>1</v>
      </c>
      <c r="B2" s="3" t="s">
        <v>15</v>
      </c>
      <c r="C2" s="4" t="s">
        <v>16</v>
      </c>
      <c r="D2" s="4" t="s">
        <v>17</v>
      </c>
      <c r="E2" s="3" t="s">
        <v>18</v>
      </c>
      <c r="F2" s="5">
        <v>28.089200000000002</v>
      </c>
      <c r="G2" s="5">
        <v>-5.4148490000000002</v>
      </c>
      <c r="H2" s="5">
        <v>8.5604230000000001</v>
      </c>
      <c r="I2" s="5">
        <v>3.4273699999999998</v>
      </c>
      <c r="J2" s="5">
        <v>-0.27737499999999998</v>
      </c>
      <c r="K2" s="6">
        <v>298</v>
      </c>
      <c r="L2" s="6">
        <v>933</v>
      </c>
      <c r="M2" s="4" t="s">
        <v>19</v>
      </c>
      <c r="N2" s="4" t="s">
        <v>20</v>
      </c>
      <c r="O2" s="7">
        <v>26.981999999999999</v>
      </c>
    </row>
    <row r="3" spans="1:15" ht="15" x14ac:dyDescent="0.3">
      <c r="A3" s="8">
        <v>2</v>
      </c>
      <c r="B3" s="9" t="s">
        <v>21</v>
      </c>
      <c r="C3" s="10" t="s">
        <v>22</v>
      </c>
      <c r="D3" s="10" t="s">
        <v>17</v>
      </c>
      <c r="E3" s="9" t="s">
        <v>18</v>
      </c>
      <c r="F3" s="11">
        <v>17.728909999999999</v>
      </c>
      <c r="G3" s="11">
        <v>28.098700000000001</v>
      </c>
      <c r="H3" s="11">
        <v>-31.252890000000001</v>
      </c>
      <c r="I3" s="11">
        <v>13.972429999999999</v>
      </c>
      <c r="J3" s="11">
        <v>6.8611000000000005E-2</v>
      </c>
      <c r="K3" s="12">
        <v>298</v>
      </c>
      <c r="L3" s="12">
        <v>1358</v>
      </c>
      <c r="M3" s="10" t="s">
        <v>19</v>
      </c>
      <c r="N3" s="10" t="s">
        <v>20</v>
      </c>
      <c r="O3" s="13">
        <v>63.545999999999999</v>
      </c>
    </row>
    <row r="4" spans="1:15" ht="15" x14ac:dyDescent="0.3">
      <c r="A4" s="2">
        <v>3</v>
      </c>
      <c r="B4" s="3" t="s">
        <v>23</v>
      </c>
      <c r="C4" s="4" t="s">
        <v>24</v>
      </c>
      <c r="D4" s="4" t="s">
        <v>17</v>
      </c>
      <c r="E4" s="3" t="s">
        <v>18</v>
      </c>
      <c r="F4" s="5">
        <v>18.42868</v>
      </c>
      <c r="G4" s="5">
        <v>24.64301</v>
      </c>
      <c r="H4" s="5">
        <v>-8.9137199999999996</v>
      </c>
      <c r="I4" s="5">
        <v>9.6647060000000007</v>
      </c>
      <c r="J4" s="5">
        <v>-1.2643E-2</v>
      </c>
      <c r="K4" s="6">
        <v>298</v>
      </c>
      <c r="L4" s="6">
        <v>700</v>
      </c>
      <c r="M4" s="4" t="s">
        <v>19</v>
      </c>
      <c r="N4" s="4" t="s">
        <v>20</v>
      </c>
      <c r="O4" s="7">
        <v>55.844999999999999</v>
      </c>
    </row>
    <row r="5" spans="1:15" ht="15" x14ac:dyDescent="0.3">
      <c r="A5" s="8">
        <v>4</v>
      </c>
      <c r="B5" s="9" t="s">
        <v>25</v>
      </c>
      <c r="C5" s="10" t="s">
        <v>26</v>
      </c>
      <c r="D5" s="10" t="s">
        <v>17</v>
      </c>
      <c r="E5" s="9" t="s">
        <v>18</v>
      </c>
      <c r="F5" s="11">
        <v>22.619420000000002</v>
      </c>
      <c r="G5" s="11">
        <v>18.987950000000001</v>
      </c>
      <c r="H5" s="11">
        <v>-18.187349999999999</v>
      </c>
      <c r="I5" s="11">
        <v>7.0807919999999998</v>
      </c>
      <c r="J5" s="11">
        <v>-0.143457</v>
      </c>
      <c r="K5" s="12">
        <v>298</v>
      </c>
      <c r="L5" s="12">
        <v>700</v>
      </c>
      <c r="M5" s="10" t="s">
        <v>19</v>
      </c>
      <c r="N5" s="10" t="s">
        <v>20</v>
      </c>
      <c r="O5" s="13">
        <v>47.866999999999997</v>
      </c>
    </row>
    <row r="6" spans="1:15" ht="15" x14ac:dyDescent="0.3">
      <c r="A6" s="2">
        <v>5</v>
      </c>
      <c r="B6" s="3" t="s">
        <v>27</v>
      </c>
      <c r="C6" s="4" t="s">
        <v>28</v>
      </c>
      <c r="D6" s="4" t="s">
        <v>17</v>
      </c>
      <c r="E6" s="3" t="s">
        <v>18</v>
      </c>
      <c r="F6" s="5">
        <v>13.691599999999999</v>
      </c>
      <c r="G6" s="5">
        <v>82.495090000000005</v>
      </c>
      <c r="H6" s="5">
        <v>-174.95480000000001</v>
      </c>
      <c r="I6" s="5">
        <v>161.6011</v>
      </c>
      <c r="J6" s="5">
        <v>-9.2416999999999999E-2</v>
      </c>
      <c r="K6" s="6">
        <v>298</v>
      </c>
      <c r="L6" s="6">
        <v>600</v>
      </c>
      <c r="M6" s="4" t="s">
        <v>19</v>
      </c>
      <c r="N6" s="4" t="s">
        <v>20</v>
      </c>
      <c r="O6" s="7">
        <v>58.692999999999998</v>
      </c>
    </row>
    <row r="7" spans="1:15" ht="15" x14ac:dyDescent="0.3">
      <c r="A7" s="8">
        <v>6</v>
      </c>
      <c r="B7" s="9" t="s">
        <v>29</v>
      </c>
      <c r="C7" s="10" t="s">
        <v>30</v>
      </c>
      <c r="D7" s="10" t="s">
        <v>17</v>
      </c>
      <c r="E7" s="9" t="s">
        <v>18</v>
      </c>
      <c r="F7" s="11">
        <v>7.4897369999999999</v>
      </c>
      <c r="G7" s="11">
        <v>71.504980000000003</v>
      </c>
      <c r="H7" s="11">
        <v>-91.675619999999995</v>
      </c>
      <c r="I7" s="11">
        <v>46.044499999999999</v>
      </c>
      <c r="J7" s="11">
        <v>0.138157</v>
      </c>
      <c r="K7" s="12">
        <v>298</v>
      </c>
      <c r="L7" s="12">
        <v>600</v>
      </c>
      <c r="M7" s="10" t="s">
        <v>19</v>
      </c>
      <c r="N7" s="10" t="s">
        <v>20</v>
      </c>
      <c r="O7" s="13">
        <v>51.996000000000002</v>
      </c>
    </row>
    <row r="8" spans="1:15" ht="15" x14ac:dyDescent="0.3">
      <c r="A8" s="2">
        <v>7</v>
      </c>
      <c r="B8" s="3" t="s">
        <v>31</v>
      </c>
      <c r="C8" s="4" t="s">
        <v>32</v>
      </c>
      <c r="D8" s="4" t="s">
        <v>17</v>
      </c>
      <c r="E8" s="3" t="s">
        <v>18</v>
      </c>
      <c r="F8" s="5">
        <v>23.959299999999999</v>
      </c>
      <c r="G8" s="5">
        <v>2.6396799999999998</v>
      </c>
      <c r="H8" s="5">
        <v>1.2577499999999999</v>
      </c>
      <c r="I8" s="5">
        <v>-0.25464199999999998</v>
      </c>
      <c r="J8" s="5">
        <v>-4.8406999999999999E-2</v>
      </c>
      <c r="K8" s="6">
        <v>298</v>
      </c>
      <c r="L8" s="6">
        <v>1900</v>
      </c>
      <c r="M8" s="4" t="s">
        <v>19</v>
      </c>
      <c r="N8" s="4" t="s">
        <v>20</v>
      </c>
      <c r="O8" s="7">
        <v>183.84</v>
      </c>
    </row>
    <row r="9" spans="1:15" ht="15" x14ac:dyDescent="0.3">
      <c r="A9" s="8">
        <v>8</v>
      </c>
      <c r="B9" s="9" t="s">
        <v>33</v>
      </c>
      <c r="C9" s="10" t="s">
        <v>34</v>
      </c>
      <c r="D9" s="10" t="s">
        <v>17</v>
      </c>
      <c r="E9" s="9" t="s">
        <v>18</v>
      </c>
      <c r="F9" s="11">
        <v>24.727360000000001</v>
      </c>
      <c r="G9" s="11">
        <v>3.9604249999999999</v>
      </c>
      <c r="H9" s="11">
        <v>-1.2707059999999999</v>
      </c>
      <c r="I9" s="11">
        <v>1.153065</v>
      </c>
      <c r="J9" s="11">
        <v>-0.17024600000000001</v>
      </c>
      <c r="K9" s="12">
        <v>298</v>
      </c>
      <c r="L9" s="12">
        <v>1900</v>
      </c>
      <c r="M9" s="10" t="s">
        <v>19</v>
      </c>
      <c r="N9" s="10" t="s">
        <v>20</v>
      </c>
      <c r="O9" s="13">
        <v>95.95</v>
      </c>
    </row>
    <row r="10" spans="1:15" ht="15" x14ac:dyDescent="0.3">
      <c r="A10" s="2">
        <v>9</v>
      </c>
      <c r="B10" s="3" t="s">
        <v>35</v>
      </c>
      <c r="C10" s="4" t="s">
        <v>36</v>
      </c>
      <c r="D10" s="4" t="s">
        <v>17</v>
      </c>
      <c r="E10" s="3" t="s">
        <v>18</v>
      </c>
      <c r="F10" s="5">
        <v>25.601230000000001</v>
      </c>
      <c r="G10" s="5">
        <v>-4.4052920000000002</v>
      </c>
      <c r="H10" s="5">
        <v>20.422059999999998</v>
      </c>
      <c r="I10" s="5">
        <v>-7.3996969999999997</v>
      </c>
      <c r="J10" s="5">
        <v>-4.5801000000000001E-2</v>
      </c>
      <c r="K10" s="6">
        <v>298</v>
      </c>
      <c r="L10" s="6">
        <v>692.73</v>
      </c>
      <c r="M10" s="4" t="s">
        <v>19</v>
      </c>
      <c r="N10" s="4" t="s">
        <v>20</v>
      </c>
      <c r="O10" s="7">
        <v>65.38</v>
      </c>
    </row>
    <row r="11" spans="1:15" ht="15" x14ac:dyDescent="0.3">
      <c r="A11" s="8">
        <v>10</v>
      </c>
      <c r="B11" s="9" t="s">
        <v>37</v>
      </c>
      <c r="C11" s="10" t="s">
        <v>38</v>
      </c>
      <c r="D11" s="10" t="s">
        <v>17</v>
      </c>
      <c r="E11" s="9" t="s">
        <v>18</v>
      </c>
      <c r="F11" s="11">
        <v>26.54083</v>
      </c>
      <c r="G11" s="11">
        <v>-1.533048</v>
      </c>
      <c r="H11" s="11">
        <v>8.062443</v>
      </c>
      <c r="I11" s="11">
        <v>0.57216999999999996</v>
      </c>
      <c r="J11" s="11">
        <v>-0.17422099999999999</v>
      </c>
      <c r="K11" s="12">
        <v>298</v>
      </c>
      <c r="L11" s="12">
        <v>923</v>
      </c>
      <c r="M11" s="10" t="s">
        <v>19</v>
      </c>
      <c r="N11" s="10" t="s">
        <v>20</v>
      </c>
      <c r="O11" s="13">
        <v>24.305</v>
      </c>
    </row>
    <row r="12" spans="1:15" ht="15" x14ac:dyDescent="0.3">
      <c r="A12" s="2">
        <v>11</v>
      </c>
      <c r="B12" s="3" t="s">
        <v>39</v>
      </c>
      <c r="C12" s="4" t="s">
        <v>40</v>
      </c>
      <c r="D12" s="4" t="s">
        <v>17</v>
      </c>
      <c r="E12" s="3" t="s">
        <v>18</v>
      </c>
      <c r="F12" s="5">
        <v>25.014500000000002</v>
      </c>
      <c r="G12" s="5">
        <v>5.4418360000000003</v>
      </c>
      <c r="H12" s="5">
        <v>4.0613669999999997</v>
      </c>
      <c r="I12" s="5">
        <v>-1.2362139999999999</v>
      </c>
      <c r="J12" s="5">
        <v>-1.0657E-2</v>
      </c>
      <c r="K12" s="6">
        <v>298</v>
      </c>
      <c r="L12" s="6">
        <v>600.6</v>
      </c>
      <c r="M12" s="4" t="s">
        <v>19</v>
      </c>
      <c r="N12" s="4" t="s">
        <v>20</v>
      </c>
      <c r="O12" s="7">
        <v>207.2</v>
      </c>
    </row>
    <row r="13" spans="1:15" ht="15" x14ac:dyDescent="0.3">
      <c r="A13" s="8">
        <v>12</v>
      </c>
      <c r="B13" s="9" t="s">
        <v>41</v>
      </c>
      <c r="C13" s="10" t="s">
        <v>42</v>
      </c>
      <c r="D13" s="10" t="s">
        <v>17</v>
      </c>
      <c r="E13" s="9" t="s">
        <v>18</v>
      </c>
      <c r="F13" s="11">
        <v>10.994300000000001</v>
      </c>
      <c r="G13" s="11">
        <v>54.375</v>
      </c>
      <c r="H13" s="11">
        <v>-55.513199999999998</v>
      </c>
      <c r="I13" s="11">
        <v>25.817</v>
      </c>
      <c r="J13" s="11">
        <v>0.16453300000000001</v>
      </c>
      <c r="K13" s="12">
        <v>298</v>
      </c>
      <c r="L13" s="12">
        <v>700</v>
      </c>
      <c r="M13" s="10" t="s">
        <v>19</v>
      </c>
      <c r="N13" s="10" t="s">
        <v>20</v>
      </c>
      <c r="O13" s="13">
        <v>58.933</v>
      </c>
    </row>
    <row r="14" spans="1:15" ht="15" x14ac:dyDescent="0.3">
      <c r="A14" s="2">
        <v>13</v>
      </c>
      <c r="B14" s="3" t="s">
        <v>43</v>
      </c>
      <c r="C14" s="4" t="s">
        <v>44</v>
      </c>
      <c r="D14" s="4" t="s">
        <v>17</v>
      </c>
      <c r="E14" s="3" t="s">
        <v>18</v>
      </c>
      <c r="F14" s="5">
        <v>26.301670000000001</v>
      </c>
      <c r="G14" s="5">
        <v>1.396587</v>
      </c>
      <c r="H14" s="5">
        <v>2.2141389999999999</v>
      </c>
      <c r="I14" s="5">
        <v>0.40397699999999997</v>
      </c>
      <c r="J14" s="5">
        <v>-0.176428</v>
      </c>
      <c r="K14" s="6">
        <v>298</v>
      </c>
      <c r="L14" s="6">
        <v>2190</v>
      </c>
      <c r="M14" s="4" t="s">
        <v>19</v>
      </c>
      <c r="N14" s="4" t="s">
        <v>20</v>
      </c>
      <c r="O14" s="7">
        <v>50.942</v>
      </c>
    </row>
    <row r="15" spans="1:15" ht="15" x14ac:dyDescent="0.3">
      <c r="A15" s="8">
        <v>14</v>
      </c>
      <c r="B15" s="9" t="s">
        <v>45</v>
      </c>
      <c r="C15" s="10" t="s">
        <v>46</v>
      </c>
      <c r="D15" s="10" t="s">
        <v>17</v>
      </c>
      <c r="E15" s="9" t="s">
        <v>18</v>
      </c>
      <c r="F15" s="11">
        <v>29.016629999999999</v>
      </c>
      <c r="G15" s="11">
        <v>-12.55597</v>
      </c>
      <c r="H15" s="11">
        <v>20.74954</v>
      </c>
      <c r="I15" s="11">
        <v>-5.9139999999999997</v>
      </c>
      <c r="J15" s="11">
        <v>-0.157249</v>
      </c>
      <c r="K15" s="12">
        <v>298</v>
      </c>
      <c r="L15" s="12">
        <v>1700</v>
      </c>
      <c r="M15" s="10" t="s">
        <v>19</v>
      </c>
      <c r="N15" s="10" t="s">
        <v>20</v>
      </c>
      <c r="O15" s="13">
        <v>91.224000000000004</v>
      </c>
    </row>
    <row r="16" spans="1:15" ht="15" x14ac:dyDescent="0.3">
      <c r="A16" s="2">
        <v>15</v>
      </c>
      <c r="B16" s="3" t="s">
        <v>47</v>
      </c>
      <c r="C16" s="4" t="s">
        <v>48</v>
      </c>
      <c r="D16" s="4" t="s">
        <v>17</v>
      </c>
      <c r="E16" s="3" t="s">
        <v>18</v>
      </c>
      <c r="F16" s="5">
        <v>22.014299999999999</v>
      </c>
      <c r="G16" s="5">
        <v>9.8881599999999992</v>
      </c>
      <c r="H16" s="5">
        <v>-5.6485300000000001</v>
      </c>
      <c r="I16" s="5">
        <v>1.7596909999999999</v>
      </c>
      <c r="J16" s="5">
        <v>2.1839000000000001E-2</v>
      </c>
      <c r="K16" s="6">
        <v>298</v>
      </c>
      <c r="L16" s="6">
        <v>2750</v>
      </c>
      <c r="M16" s="4" t="s">
        <v>19</v>
      </c>
      <c r="N16" s="4" t="s">
        <v>20</v>
      </c>
      <c r="O16" s="7">
        <v>92.906000000000006</v>
      </c>
    </row>
    <row r="17" spans="1:15" ht="15" x14ac:dyDescent="0.3">
      <c r="A17" s="8">
        <v>16</v>
      </c>
      <c r="B17" s="9" t="s">
        <v>49</v>
      </c>
      <c r="C17" s="10" t="s">
        <v>50</v>
      </c>
      <c r="D17" s="10" t="s">
        <v>17</v>
      </c>
      <c r="E17" s="9" t="s">
        <v>18</v>
      </c>
      <c r="F17" s="11">
        <v>20.69482</v>
      </c>
      <c r="G17" s="11">
        <v>17.29992</v>
      </c>
      <c r="H17" s="11">
        <v>-15.689870000000001</v>
      </c>
      <c r="I17" s="11">
        <v>5.6086939999999998</v>
      </c>
      <c r="J17" s="11">
        <v>6.1580999999999997E-2</v>
      </c>
      <c r="K17" s="12">
        <v>298</v>
      </c>
      <c r="L17" s="12">
        <v>1300</v>
      </c>
      <c r="M17" s="10" t="s">
        <v>19</v>
      </c>
      <c r="N17" s="10" t="s">
        <v>20</v>
      </c>
      <c r="O17" s="13">
        <v>180.95</v>
      </c>
    </row>
    <row r="18" spans="1:15" ht="15" x14ac:dyDescent="0.3">
      <c r="A18" s="2">
        <v>17</v>
      </c>
      <c r="B18" s="3" t="s">
        <v>51</v>
      </c>
      <c r="C18" s="4" t="s">
        <v>52</v>
      </c>
      <c r="D18" s="4" t="s">
        <v>17</v>
      </c>
      <c r="E18" s="3" t="s">
        <v>18</v>
      </c>
      <c r="F18" s="5">
        <v>27.241900000000001</v>
      </c>
      <c r="G18" s="5">
        <v>5.2376399999999999</v>
      </c>
      <c r="H18" s="5">
        <v>7.7831599999999996</v>
      </c>
      <c r="I18" s="5">
        <v>-2.1185010000000002</v>
      </c>
      <c r="J18" s="5">
        <v>-0.282113</v>
      </c>
      <c r="K18" s="6">
        <v>298</v>
      </c>
      <c r="L18" s="6">
        <v>980</v>
      </c>
      <c r="M18" s="4" t="s">
        <v>19</v>
      </c>
      <c r="N18" s="4" t="s">
        <v>20</v>
      </c>
      <c r="O18" s="7">
        <v>54.938000000000002</v>
      </c>
    </row>
    <row r="19" spans="1:15" ht="15" x14ac:dyDescent="0.3">
      <c r="A19" s="8">
        <v>18</v>
      </c>
      <c r="B19" s="9" t="s">
        <v>53</v>
      </c>
      <c r="C19" s="10" t="s">
        <v>54</v>
      </c>
      <c r="D19" s="10" t="s">
        <v>17</v>
      </c>
      <c r="E19" s="9" t="s">
        <v>18</v>
      </c>
      <c r="F19" s="11">
        <v>21.206939999999999</v>
      </c>
      <c r="G19" s="11">
        <v>5.6881899999999996</v>
      </c>
      <c r="H19" s="11">
        <v>0.96801899999999996</v>
      </c>
      <c r="I19" s="11">
        <v>-1.7489999999999999E-3</v>
      </c>
      <c r="J19" s="11">
        <v>-0.58752599999999999</v>
      </c>
      <c r="K19" s="12">
        <v>298</v>
      </c>
      <c r="L19" s="12">
        <v>1527</v>
      </c>
      <c r="M19" s="10" t="s">
        <v>19</v>
      </c>
      <c r="N19" s="10" t="s">
        <v>20</v>
      </c>
      <c r="O19" s="13">
        <v>9.0122</v>
      </c>
    </row>
    <row r="20" spans="1:15" ht="15" x14ac:dyDescent="0.3">
      <c r="A20" s="2">
        <v>19</v>
      </c>
      <c r="B20" s="3" t="s">
        <v>55</v>
      </c>
      <c r="C20" s="4" t="s">
        <v>56</v>
      </c>
      <c r="D20" s="4" t="s">
        <v>17</v>
      </c>
      <c r="E20" s="3" t="s">
        <v>18</v>
      </c>
      <c r="F20" s="5">
        <v>22.710329999999999</v>
      </c>
      <c r="G20" s="5">
        <v>10.86443</v>
      </c>
      <c r="H20" s="5">
        <v>-1.9018090000000001</v>
      </c>
      <c r="I20" s="5">
        <v>0.30636799999999997</v>
      </c>
      <c r="J20" s="5">
        <v>-7.587E-3</v>
      </c>
      <c r="K20" s="6">
        <v>298</v>
      </c>
      <c r="L20" s="6">
        <v>2500</v>
      </c>
      <c r="M20" s="4" t="s">
        <v>19</v>
      </c>
      <c r="N20" s="4" t="s">
        <v>20</v>
      </c>
      <c r="O20" s="7">
        <v>178.49</v>
      </c>
    </row>
    <row r="21" spans="1:15" ht="15" x14ac:dyDescent="0.3">
      <c r="A21" s="8">
        <v>20</v>
      </c>
      <c r="B21" s="9" t="s">
        <v>57</v>
      </c>
      <c r="C21" s="10" t="s">
        <v>58</v>
      </c>
      <c r="D21" s="10" t="s">
        <v>17</v>
      </c>
      <c r="E21" s="9" t="s">
        <v>18</v>
      </c>
      <c r="F21" s="11">
        <v>169.55199999999999</v>
      </c>
      <c r="G21" s="11">
        <v>-882.71100000000001</v>
      </c>
      <c r="H21" s="11">
        <v>1977.4380000000001</v>
      </c>
      <c r="I21" s="11">
        <v>-1487.3119999999999</v>
      </c>
      <c r="J21" s="11">
        <v>-1.6096349999999999</v>
      </c>
      <c r="K21" s="12">
        <v>298</v>
      </c>
      <c r="L21" s="12">
        <v>453</v>
      </c>
      <c r="M21" s="10" t="s">
        <v>19</v>
      </c>
      <c r="N21" s="10" t="s">
        <v>20</v>
      </c>
      <c r="O21" s="13">
        <v>6.94</v>
      </c>
    </row>
    <row r="22" spans="1:15" ht="15" x14ac:dyDescent="0.3">
      <c r="A22" s="2">
        <v>21</v>
      </c>
      <c r="B22" s="3" t="s">
        <v>59</v>
      </c>
      <c r="C22" s="4" t="s">
        <v>60</v>
      </c>
      <c r="D22" s="4" t="s">
        <v>17</v>
      </c>
      <c r="E22" s="3" t="s">
        <v>18</v>
      </c>
      <c r="F22" s="5">
        <v>72.636750000000006</v>
      </c>
      <c r="G22" s="5">
        <v>-9.4915719999999997</v>
      </c>
      <c r="H22" s="5">
        <v>-730.93219999999997</v>
      </c>
      <c r="I22" s="5">
        <v>1414.518</v>
      </c>
      <c r="J22" s="5">
        <v>-1.259377</v>
      </c>
      <c r="K22" s="6">
        <v>298</v>
      </c>
      <c r="L22" s="6">
        <v>370</v>
      </c>
      <c r="M22" s="4" t="s">
        <v>19</v>
      </c>
      <c r="N22" s="4" t="s">
        <v>20</v>
      </c>
      <c r="O22" s="7">
        <v>22.99</v>
      </c>
    </row>
    <row r="23" spans="1:15" ht="15" x14ac:dyDescent="0.3">
      <c r="A23" s="8">
        <v>22</v>
      </c>
      <c r="B23" s="9" t="s">
        <v>61</v>
      </c>
      <c r="C23" s="10" t="s">
        <v>62</v>
      </c>
      <c r="D23" s="10" t="s">
        <v>17</v>
      </c>
      <c r="E23" s="9" t="s">
        <v>18</v>
      </c>
      <c r="F23" s="11">
        <v>-63.4741</v>
      </c>
      <c r="G23" s="11">
        <v>-3226.34</v>
      </c>
      <c r="H23" s="11">
        <v>14644.6</v>
      </c>
      <c r="I23" s="11">
        <v>-16229.5</v>
      </c>
      <c r="J23" s="11">
        <v>16.2941</v>
      </c>
      <c r="K23" s="12">
        <v>298</v>
      </c>
      <c r="L23" s="12">
        <v>336.35</v>
      </c>
      <c r="M23" s="10" t="s">
        <v>19</v>
      </c>
      <c r="N23" s="10" t="s">
        <v>20</v>
      </c>
      <c r="O23" s="13">
        <v>39.097999999999999</v>
      </c>
    </row>
    <row r="24" spans="1:15" ht="15" x14ac:dyDescent="0.3">
      <c r="A24" s="2">
        <v>23</v>
      </c>
      <c r="B24" s="3" t="s">
        <v>63</v>
      </c>
      <c r="C24" s="4" t="s">
        <v>64</v>
      </c>
      <c r="D24" s="4" t="s">
        <v>17</v>
      </c>
      <c r="E24" s="3" t="s">
        <v>18</v>
      </c>
      <c r="F24" s="5">
        <v>19.775169999999999</v>
      </c>
      <c r="G24" s="5">
        <v>10.108129999999999</v>
      </c>
      <c r="H24" s="5">
        <v>14.50338</v>
      </c>
      <c r="I24" s="5">
        <v>-5.5294910000000002</v>
      </c>
      <c r="J24" s="5">
        <v>0.17803099999999999</v>
      </c>
      <c r="K24" s="6">
        <v>298</v>
      </c>
      <c r="L24" s="6">
        <v>1100</v>
      </c>
      <c r="M24" s="4" t="s">
        <v>19</v>
      </c>
      <c r="N24" s="4" t="s">
        <v>20</v>
      </c>
      <c r="O24" s="7">
        <v>40.078000000000003</v>
      </c>
    </row>
    <row r="25" spans="1:15" ht="15" x14ac:dyDescent="0.3">
      <c r="A25" s="8">
        <v>24</v>
      </c>
      <c r="B25" s="9" t="s">
        <v>65</v>
      </c>
      <c r="C25" s="10" t="s">
        <v>66</v>
      </c>
      <c r="D25" s="10" t="s">
        <v>17</v>
      </c>
      <c r="E25" s="9" t="s">
        <v>18</v>
      </c>
      <c r="F25" s="11">
        <v>23.88223</v>
      </c>
      <c r="G25" s="11">
        <v>9.2973510000000008</v>
      </c>
      <c r="H25" s="11">
        <v>0.91992399999999996</v>
      </c>
      <c r="I25" s="11">
        <v>3.5242999999999997E-2</v>
      </c>
      <c r="J25" s="11">
        <v>4.934E-3</v>
      </c>
      <c r="K25" s="12">
        <v>298</v>
      </c>
      <c r="L25" s="12">
        <v>1050</v>
      </c>
      <c r="M25" s="10" t="s">
        <v>19</v>
      </c>
      <c r="N25" s="10" t="s">
        <v>20</v>
      </c>
      <c r="O25" s="13">
        <v>87.62</v>
      </c>
    </row>
    <row r="26" spans="1:15" ht="15" x14ac:dyDescent="0.3">
      <c r="A26" s="2">
        <v>25</v>
      </c>
      <c r="B26" s="3" t="s">
        <v>67</v>
      </c>
      <c r="C26" s="4" t="s">
        <v>68</v>
      </c>
      <c r="D26" s="4" t="s">
        <v>17</v>
      </c>
      <c r="E26" s="3" t="s">
        <v>18</v>
      </c>
      <c r="F26" s="5">
        <v>83.8018</v>
      </c>
      <c r="G26" s="5">
        <v>-406.18599999999998</v>
      </c>
      <c r="H26" s="5">
        <v>915.06600000000003</v>
      </c>
      <c r="I26" s="5">
        <v>-519.80499999999995</v>
      </c>
      <c r="J26" s="5">
        <v>-0.191854</v>
      </c>
      <c r="K26" s="6">
        <v>298</v>
      </c>
      <c r="L26" s="6">
        <v>583</v>
      </c>
      <c r="M26" s="4" t="s">
        <v>19</v>
      </c>
      <c r="N26" s="4" t="s">
        <v>20</v>
      </c>
      <c r="O26" s="7">
        <v>137.33000000000001</v>
      </c>
    </row>
    <row r="27" spans="1:15" ht="15" x14ac:dyDescent="0.3">
      <c r="A27" s="8">
        <v>26</v>
      </c>
      <c r="B27" s="9" t="s">
        <v>69</v>
      </c>
      <c r="C27" s="10" t="s">
        <v>70</v>
      </c>
      <c r="D27" s="10" t="s">
        <v>17</v>
      </c>
      <c r="E27" s="9" t="s">
        <v>71</v>
      </c>
      <c r="F27" s="11">
        <v>102.429</v>
      </c>
      <c r="G27" s="11">
        <v>38.7498</v>
      </c>
      <c r="H27" s="11">
        <v>-15.9109</v>
      </c>
      <c r="I27" s="11">
        <v>2.6281810000000001</v>
      </c>
      <c r="J27" s="11">
        <v>-3.0075509999999999</v>
      </c>
      <c r="K27" s="12">
        <v>298</v>
      </c>
      <c r="L27" s="12">
        <v>2327</v>
      </c>
      <c r="M27" s="10" t="s">
        <v>19</v>
      </c>
      <c r="N27" s="10" t="s">
        <v>20</v>
      </c>
      <c r="O27" s="13">
        <v>101.961</v>
      </c>
    </row>
    <row r="28" spans="1:15" ht="15" x14ac:dyDescent="0.3">
      <c r="A28" s="2">
        <v>27</v>
      </c>
      <c r="B28" s="3" t="s">
        <v>72</v>
      </c>
      <c r="C28" s="4" t="s">
        <v>73</v>
      </c>
      <c r="D28" s="4" t="s">
        <v>17</v>
      </c>
      <c r="E28" s="3" t="s">
        <v>71</v>
      </c>
      <c r="F28" s="5">
        <v>-6.0765909999999996</v>
      </c>
      <c r="G28" s="5">
        <v>251.6755</v>
      </c>
      <c r="H28" s="5">
        <v>-324.79640000000001</v>
      </c>
      <c r="I28" s="5">
        <v>168.56039999999999</v>
      </c>
      <c r="J28" s="5">
        <v>2.5479999999999999E-3</v>
      </c>
      <c r="K28" s="6">
        <v>298</v>
      </c>
      <c r="L28" s="6">
        <v>847</v>
      </c>
      <c r="M28" s="4" t="s">
        <v>19</v>
      </c>
      <c r="N28" s="4" t="s">
        <v>20</v>
      </c>
      <c r="O28" s="7">
        <v>60.082999999999998</v>
      </c>
    </row>
    <row r="29" spans="1:15" ht="15" x14ac:dyDescent="0.3">
      <c r="A29" s="8">
        <v>28</v>
      </c>
      <c r="B29" s="9" t="s">
        <v>74</v>
      </c>
      <c r="C29" s="10" t="s">
        <v>75</v>
      </c>
      <c r="D29" s="10" t="s">
        <v>17</v>
      </c>
      <c r="E29" s="9" t="s">
        <v>71</v>
      </c>
      <c r="F29" s="11">
        <v>67.497960000000006</v>
      </c>
      <c r="G29" s="11">
        <v>18.270150000000001</v>
      </c>
      <c r="H29" s="11">
        <v>-11.254670000000001</v>
      </c>
      <c r="I29" s="11">
        <v>2.3717169999999999</v>
      </c>
      <c r="J29" s="11">
        <v>-1.492815</v>
      </c>
      <c r="K29" s="12">
        <v>298</v>
      </c>
      <c r="L29" s="12">
        <v>2000</v>
      </c>
      <c r="M29" s="10" t="s">
        <v>19</v>
      </c>
      <c r="N29" s="10" t="s">
        <v>20</v>
      </c>
      <c r="O29" s="13">
        <v>79.864999999999995</v>
      </c>
    </row>
    <row r="30" spans="1:15" ht="15" x14ac:dyDescent="0.3">
      <c r="A30" s="2">
        <v>29</v>
      </c>
      <c r="B30" s="3" t="s">
        <v>76</v>
      </c>
      <c r="C30" s="4" t="s">
        <v>77</v>
      </c>
      <c r="D30" s="4" t="s">
        <v>17</v>
      </c>
      <c r="E30" s="3" t="s">
        <v>78</v>
      </c>
      <c r="F30" s="5">
        <v>69.200010000000006</v>
      </c>
      <c r="G30" s="5">
        <v>8.5482899999999997</v>
      </c>
      <c r="H30" s="5">
        <v>-0.86292100000000005</v>
      </c>
      <c r="I30" s="5">
        <v>0.24637400000000001</v>
      </c>
      <c r="J30" s="5">
        <v>-1.3827670000000001</v>
      </c>
      <c r="K30" s="6">
        <v>298</v>
      </c>
      <c r="L30" s="6">
        <v>1478</v>
      </c>
      <c r="M30" s="4" t="s">
        <v>19</v>
      </c>
      <c r="N30" s="4" t="s">
        <v>20</v>
      </c>
      <c r="O30" s="7">
        <v>123.22199999999999</v>
      </c>
    </row>
    <row r="31" spans="1:15" ht="15" x14ac:dyDescent="0.3">
      <c r="A31" s="8">
        <v>30</v>
      </c>
      <c r="B31" s="9" t="s">
        <v>79</v>
      </c>
      <c r="C31" s="10" t="s">
        <v>80</v>
      </c>
      <c r="D31" s="10" t="s">
        <v>17</v>
      </c>
      <c r="E31" s="9" t="s">
        <v>78</v>
      </c>
      <c r="F31" s="11">
        <v>47.259950000000003</v>
      </c>
      <c r="G31" s="11">
        <v>5.6816209999999998</v>
      </c>
      <c r="H31" s="11">
        <v>-0.87266500000000002</v>
      </c>
      <c r="I31" s="11">
        <v>0.1043</v>
      </c>
      <c r="J31" s="11">
        <v>-1.053955</v>
      </c>
      <c r="K31" s="12">
        <v>298</v>
      </c>
      <c r="L31" s="12">
        <v>3105</v>
      </c>
      <c r="M31" s="10" t="s">
        <v>19</v>
      </c>
      <c r="N31" s="10" t="s">
        <v>20</v>
      </c>
      <c r="O31" s="13">
        <v>40.304000000000002</v>
      </c>
    </row>
    <row r="32" spans="1:15" ht="15" x14ac:dyDescent="0.3">
      <c r="A32" s="2">
        <v>31</v>
      </c>
      <c r="B32" s="3" t="s">
        <v>81</v>
      </c>
      <c r="C32" s="4" t="s">
        <v>82</v>
      </c>
      <c r="D32" s="4" t="s">
        <v>17</v>
      </c>
      <c r="E32" s="3" t="s">
        <v>78</v>
      </c>
      <c r="F32" s="5">
        <v>49.954030000000003</v>
      </c>
      <c r="G32" s="5">
        <v>4.8879159999999997</v>
      </c>
      <c r="H32" s="5">
        <v>-0.35205599999999998</v>
      </c>
      <c r="I32" s="5">
        <v>4.6186999999999999E-2</v>
      </c>
      <c r="J32" s="5">
        <v>-0.82509699999999997</v>
      </c>
      <c r="K32" s="6">
        <v>298</v>
      </c>
      <c r="L32" s="6">
        <v>3200</v>
      </c>
      <c r="M32" s="4" t="s">
        <v>19</v>
      </c>
      <c r="N32" s="4" t="s">
        <v>20</v>
      </c>
      <c r="O32" s="7">
        <v>56.076999999999998</v>
      </c>
    </row>
    <row r="33" spans="1:15" ht="15" x14ac:dyDescent="0.3">
      <c r="A33" s="8">
        <v>32</v>
      </c>
      <c r="B33" s="9" t="s">
        <v>83</v>
      </c>
      <c r="C33" s="10" t="s">
        <v>84</v>
      </c>
      <c r="D33" s="10" t="s">
        <v>17</v>
      </c>
      <c r="E33" s="9" t="s">
        <v>71</v>
      </c>
      <c r="F33" s="11">
        <v>45.751199999999997</v>
      </c>
      <c r="G33" s="11">
        <v>18.785530000000001</v>
      </c>
      <c r="H33" s="11">
        <v>-5.9522009999999996</v>
      </c>
      <c r="I33" s="11">
        <v>0.85277899999999995</v>
      </c>
      <c r="J33" s="11">
        <v>-8.1265000000000004E-2</v>
      </c>
      <c r="K33" s="12">
        <v>298</v>
      </c>
      <c r="L33" s="12">
        <v>1650</v>
      </c>
      <c r="M33" s="10" t="s">
        <v>19</v>
      </c>
      <c r="N33" s="10" t="s">
        <v>20</v>
      </c>
      <c r="O33" s="13">
        <v>71.843999999999994</v>
      </c>
    </row>
    <row r="34" spans="1:15" ht="15" x14ac:dyDescent="0.3">
      <c r="A34" s="2">
        <v>33</v>
      </c>
      <c r="B34" s="3" t="s">
        <v>85</v>
      </c>
      <c r="C34" s="4" t="s">
        <v>86</v>
      </c>
      <c r="D34" s="4" t="s">
        <v>17</v>
      </c>
      <c r="E34" s="3" t="s">
        <v>78</v>
      </c>
      <c r="F34" s="5">
        <v>-147396</v>
      </c>
      <c r="G34" s="5">
        <v>711495</v>
      </c>
      <c r="H34" s="5">
        <v>-1111270</v>
      </c>
      <c r="I34" s="5">
        <v>407561</v>
      </c>
      <c r="J34" s="5">
        <v>2077.16</v>
      </c>
      <c r="K34" s="6">
        <v>298</v>
      </c>
      <c r="L34" s="6">
        <v>305</v>
      </c>
      <c r="M34" s="4" t="s">
        <v>19</v>
      </c>
      <c r="N34" s="4" t="s">
        <v>20</v>
      </c>
      <c r="O34" s="7">
        <v>151.989</v>
      </c>
    </row>
    <row r="35" spans="1:15" ht="15" x14ac:dyDescent="0.3">
      <c r="A35" s="8">
        <v>34</v>
      </c>
      <c r="B35" s="9" t="s">
        <v>87</v>
      </c>
      <c r="C35" s="10" t="s">
        <v>88</v>
      </c>
      <c r="D35" s="10" t="s">
        <v>17</v>
      </c>
      <c r="E35" s="9" t="s">
        <v>71</v>
      </c>
      <c r="F35" s="11">
        <v>43.65</v>
      </c>
      <c r="G35" s="11">
        <v>22.38373</v>
      </c>
      <c r="H35" s="11">
        <v>-16.89386</v>
      </c>
      <c r="I35" s="11">
        <v>6.5561610000000003</v>
      </c>
      <c r="J35" s="11">
        <v>0.53226300000000004</v>
      </c>
      <c r="K35" s="12">
        <v>298</v>
      </c>
      <c r="L35" s="12">
        <v>1600</v>
      </c>
      <c r="M35" s="10" t="s">
        <v>19</v>
      </c>
      <c r="N35" s="10" t="s">
        <v>20</v>
      </c>
      <c r="O35" s="13">
        <v>74.932000000000002</v>
      </c>
    </row>
    <row r="36" spans="1:15" ht="15" x14ac:dyDescent="0.3">
      <c r="A36" s="2">
        <v>35</v>
      </c>
      <c r="B36" s="3" t="s">
        <v>89</v>
      </c>
      <c r="C36" s="4" t="s">
        <v>90</v>
      </c>
      <c r="D36" s="4" t="s">
        <v>17</v>
      </c>
      <c r="E36" s="3" t="s">
        <v>71</v>
      </c>
      <c r="F36" s="5">
        <v>177.09530000000001</v>
      </c>
      <c r="G36" s="5">
        <v>-100.4361</v>
      </c>
      <c r="H36" s="5">
        <v>185.7792</v>
      </c>
      <c r="I36" s="5">
        <v>-49.048609999999996</v>
      </c>
      <c r="J36" s="5">
        <v>-3.4839509999999998</v>
      </c>
      <c r="K36" s="6">
        <v>298</v>
      </c>
      <c r="L36" s="6">
        <v>1500</v>
      </c>
      <c r="M36" s="4" t="s">
        <v>19</v>
      </c>
      <c r="N36" s="4" t="s">
        <v>20</v>
      </c>
      <c r="O36" s="7">
        <v>240.79499999999999</v>
      </c>
    </row>
    <row r="37" spans="1:15" ht="15" x14ac:dyDescent="0.3">
      <c r="A37" s="8">
        <v>36</v>
      </c>
      <c r="B37" s="9" t="s">
        <v>91</v>
      </c>
      <c r="C37" s="10" t="s">
        <v>92</v>
      </c>
      <c r="D37" s="10" t="s">
        <v>17</v>
      </c>
      <c r="E37" s="9" t="s">
        <v>71</v>
      </c>
      <c r="F37" s="11">
        <v>47.427300000000002</v>
      </c>
      <c r="G37" s="11">
        <v>13.136200000000001</v>
      </c>
      <c r="H37" s="11">
        <v>-3.7965010000000001</v>
      </c>
      <c r="I37" s="11">
        <v>0.72593799999999997</v>
      </c>
      <c r="J37" s="11">
        <v>-0.33675699999999997</v>
      </c>
      <c r="K37" s="12">
        <v>298</v>
      </c>
      <c r="L37" s="12">
        <v>2286</v>
      </c>
      <c r="M37" s="10" t="s">
        <v>19</v>
      </c>
      <c r="N37" s="10" t="s">
        <v>20</v>
      </c>
      <c r="O37" s="13">
        <v>153.32900000000001</v>
      </c>
    </row>
    <row r="38" spans="1:15" ht="15" x14ac:dyDescent="0.3">
      <c r="A38" s="2">
        <v>37</v>
      </c>
      <c r="B38" s="3" t="s">
        <v>93</v>
      </c>
      <c r="C38" s="4" t="s">
        <v>94</v>
      </c>
      <c r="D38" s="4" t="s">
        <v>17</v>
      </c>
      <c r="E38" s="3" t="s">
        <v>71</v>
      </c>
      <c r="F38" s="5">
        <v>48.551139999999997</v>
      </c>
      <c r="G38" s="5">
        <v>8.7480340000000005</v>
      </c>
      <c r="H38" s="5">
        <v>-0.89396600000000004</v>
      </c>
      <c r="I38" s="5">
        <v>0.11505700000000001</v>
      </c>
      <c r="J38" s="5">
        <v>-0.50780400000000003</v>
      </c>
      <c r="K38" s="6">
        <v>298</v>
      </c>
      <c r="L38" s="6">
        <v>2938</v>
      </c>
      <c r="M38" s="4" t="s">
        <v>19</v>
      </c>
      <c r="N38" s="4" t="s">
        <v>20</v>
      </c>
      <c r="O38" s="7">
        <v>103.619</v>
      </c>
    </row>
    <row r="39" spans="1:15" ht="15" x14ac:dyDescent="0.3">
      <c r="A39" s="8">
        <v>38</v>
      </c>
      <c r="B39" s="9" t="s">
        <v>95</v>
      </c>
      <c r="C39" s="10" t="s">
        <v>96</v>
      </c>
      <c r="D39" s="10" t="s">
        <v>17</v>
      </c>
      <c r="E39" s="9" t="s">
        <v>71</v>
      </c>
      <c r="F39" s="11">
        <v>3.3589739999999999</v>
      </c>
      <c r="G39" s="11">
        <v>131.59219999999999</v>
      </c>
      <c r="H39" s="11">
        <v>-140.49369999999999</v>
      </c>
      <c r="I39" s="11">
        <v>56.209530000000001</v>
      </c>
      <c r="J39" s="11">
        <v>-0.53666899999999995</v>
      </c>
      <c r="K39" s="12">
        <v>298</v>
      </c>
      <c r="L39" s="12">
        <v>800</v>
      </c>
      <c r="M39" s="10" t="s">
        <v>19</v>
      </c>
      <c r="N39" s="10" t="s">
        <v>20</v>
      </c>
      <c r="O39" s="13">
        <v>25.011199999999999</v>
      </c>
    </row>
    <row r="40" spans="1:15" ht="15" x14ac:dyDescent="0.3">
      <c r="A40" s="2">
        <v>39</v>
      </c>
      <c r="B40" s="3" t="s">
        <v>97</v>
      </c>
      <c r="C40" s="4" t="s">
        <v>98</v>
      </c>
      <c r="D40" s="4" t="s">
        <v>17</v>
      </c>
      <c r="E40" s="3" t="s">
        <v>71</v>
      </c>
      <c r="F40" s="5">
        <v>161.8689</v>
      </c>
      <c r="G40" s="5">
        <v>33.268740000000001</v>
      </c>
      <c r="H40" s="5">
        <v>-12.93446</v>
      </c>
      <c r="I40" s="5">
        <v>5.1253580000000003</v>
      </c>
      <c r="J40" s="5">
        <v>-3.5776249999999998</v>
      </c>
      <c r="K40" s="6">
        <v>298</v>
      </c>
      <c r="L40" s="6">
        <v>943</v>
      </c>
      <c r="M40" s="4" t="s">
        <v>19</v>
      </c>
      <c r="N40" s="4" t="s">
        <v>20</v>
      </c>
      <c r="O40" s="7">
        <v>181.87899999999999</v>
      </c>
    </row>
    <row r="41" spans="1:15" ht="15" x14ac:dyDescent="0.3">
      <c r="A41" s="8">
        <v>40</v>
      </c>
      <c r="B41" s="9" t="s">
        <v>99</v>
      </c>
      <c r="C41" s="10" t="s">
        <v>100</v>
      </c>
      <c r="D41" s="10" t="s">
        <v>17</v>
      </c>
      <c r="E41" s="9" t="s">
        <v>71</v>
      </c>
      <c r="F41" s="11">
        <v>132.09059999999999</v>
      </c>
      <c r="G41" s="11">
        <v>-7.7931600000000003</v>
      </c>
      <c r="H41" s="11">
        <v>19.21979</v>
      </c>
      <c r="I41" s="11">
        <v>-2.9207589999999999</v>
      </c>
      <c r="J41" s="11">
        <v>-2.3405930000000001</v>
      </c>
      <c r="K41" s="12">
        <v>298</v>
      </c>
      <c r="L41" s="12">
        <v>2340</v>
      </c>
      <c r="M41" s="10" t="s">
        <v>19</v>
      </c>
      <c r="N41" s="10" t="s">
        <v>20</v>
      </c>
      <c r="O41" s="13">
        <v>149.881</v>
      </c>
    </row>
    <row r="42" spans="1:15" ht="15" x14ac:dyDescent="0.3">
      <c r="A42" s="2">
        <v>41</v>
      </c>
      <c r="B42" s="3" t="s">
        <v>101</v>
      </c>
      <c r="C42" s="4" t="s">
        <v>102</v>
      </c>
      <c r="D42" s="4" t="s">
        <v>17</v>
      </c>
      <c r="E42" s="3" t="s">
        <v>71</v>
      </c>
      <c r="F42" s="5">
        <v>30.258189999999999</v>
      </c>
      <c r="G42" s="5">
        <v>65.903859999999995</v>
      </c>
      <c r="H42" s="5">
        <v>-59.591459999999998</v>
      </c>
      <c r="I42" s="5">
        <v>19.212129999999998</v>
      </c>
      <c r="J42" s="5">
        <v>-0.108944</v>
      </c>
      <c r="K42" s="6">
        <v>298</v>
      </c>
      <c r="L42" s="6">
        <v>1100</v>
      </c>
      <c r="M42" s="4" t="s">
        <v>19</v>
      </c>
      <c r="N42" s="4" t="s">
        <v>20</v>
      </c>
      <c r="O42" s="7">
        <v>82.94</v>
      </c>
    </row>
    <row r="43" spans="1:15" ht="15" x14ac:dyDescent="0.3">
      <c r="A43" s="8">
        <v>42</v>
      </c>
      <c r="B43" s="9" t="s">
        <v>103</v>
      </c>
      <c r="C43" s="10" t="s">
        <v>104</v>
      </c>
      <c r="D43" s="10" t="s">
        <v>17</v>
      </c>
      <c r="E43" s="9" t="s">
        <v>71</v>
      </c>
      <c r="F43" s="11">
        <v>30.5396</v>
      </c>
      <c r="G43" s="11">
        <v>200.86699999999999</v>
      </c>
      <c r="H43" s="11">
        <v>-206.24799999999999</v>
      </c>
      <c r="I43" s="11">
        <v>76.519300000000001</v>
      </c>
      <c r="J43" s="11">
        <v>-8.8903999999999997E-2</v>
      </c>
      <c r="K43" s="12">
        <v>298</v>
      </c>
      <c r="L43" s="12">
        <v>1050</v>
      </c>
      <c r="M43" s="10" t="s">
        <v>19</v>
      </c>
      <c r="N43" s="10" t="s">
        <v>20</v>
      </c>
      <c r="O43" s="13">
        <v>231.83699999999999</v>
      </c>
    </row>
    <row r="44" spans="1:15" ht="15" x14ac:dyDescent="0.3">
      <c r="A44" s="2">
        <v>43</v>
      </c>
      <c r="B44" s="3" t="s">
        <v>105</v>
      </c>
      <c r="C44" s="4" t="s">
        <v>106</v>
      </c>
      <c r="D44" s="4" t="s">
        <v>17</v>
      </c>
      <c r="E44" s="3" t="s">
        <v>71</v>
      </c>
      <c r="F44" s="5">
        <v>53.408760000000001</v>
      </c>
      <c r="G44" s="5">
        <v>53.53219</v>
      </c>
      <c r="H44" s="5">
        <v>-39.011699999999998</v>
      </c>
      <c r="I44" s="5">
        <v>11.120189999999999</v>
      </c>
      <c r="J44" s="5">
        <v>-0.93124099999999999</v>
      </c>
      <c r="K44" s="6">
        <v>298</v>
      </c>
      <c r="L44" s="6">
        <v>1300</v>
      </c>
      <c r="M44" s="4" t="s">
        <v>19</v>
      </c>
      <c r="N44" s="4" t="s">
        <v>20</v>
      </c>
      <c r="O44" s="7">
        <v>215.83799999999999</v>
      </c>
    </row>
    <row r="45" spans="1:15" ht="15" x14ac:dyDescent="0.3">
      <c r="A45" s="8">
        <v>44</v>
      </c>
      <c r="B45" s="9" t="s">
        <v>107</v>
      </c>
      <c r="C45" s="10" t="s">
        <v>108</v>
      </c>
      <c r="D45" s="10" t="s">
        <v>17</v>
      </c>
      <c r="E45" s="9" t="s">
        <v>71</v>
      </c>
      <c r="F45" s="11">
        <v>93.313659999999999</v>
      </c>
      <c r="G45" s="11">
        <v>-22.811129999999999</v>
      </c>
      <c r="H45" s="11">
        <v>52.630540000000003</v>
      </c>
      <c r="I45" s="11">
        <v>-12.742789999999999</v>
      </c>
      <c r="J45" s="11">
        <v>-1.4169339999999999</v>
      </c>
      <c r="K45" s="12">
        <v>298</v>
      </c>
      <c r="L45" s="12">
        <v>1074</v>
      </c>
      <c r="M45" s="10" t="s">
        <v>19</v>
      </c>
      <c r="N45" s="10" t="s">
        <v>20</v>
      </c>
      <c r="O45" s="13">
        <v>143.947</v>
      </c>
    </row>
    <row r="46" spans="1:15" ht="15" x14ac:dyDescent="0.3">
      <c r="A46" s="2">
        <v>45</v>
      </c>
      <c r="B46" s="3" t="s">
        <v>109</v>
      </c>
      <c r="C46" s="4" t="s">
        <v>110</v>
      </c>
      <c r="D46" s="4" t="s">
        <v>17</v>
      </c>
      <c r="E46" s="3" t="s">
        <v>71</v>
      </c>
      <c r="F46" s="5">
        <v>65.667879999999997</v>
      </c>
      <c r="G46" s="5">
        <v>11.560890000000001</v>
      </c>
      <c r="H46" s="5">
        <v>5.427778</v>
      </c>
      <c r="I46" s="5">
        <v>2.5599999999999999E-4</v>
      </c>
      <c r="J46" s="5">
        <v>-1.217687</v>
      </c>
      <c r="K46" s="6">
        <v>298</v>
      </c>
      <c r="L46" s="6">
        <v>3000</v>
      </c>
      <c r="M46" s="4" t="s">
        <v>19</v>
      </c>
      <c r="N46" s="4" t="s">
        <v>20</v>
      </c>
      <c r="O46" s="7">
        <v>127.94799999999999</v>
      </c>
    </row>
    <row r="47" spans="1:15" ht="15" x14ac:dyDescent="0.3">
      <c r="A47" s="8">
        <v>46</v>
      </c>
      <c r="B47" s="9" t="s">
        <v>111</v>
      </c>
      <c r="C47" s="10" t="s">
        <v>112</v>
      </c>
      <c r="D47" s="10" t="s">
        <v>17</v>
      </c>
      <c r="E47" s="9" t="s">
        <v>71</v>
      </c>
      <c r="F47" s="11">
        <v>51.651479999999999</v>
      </c>
      <c r="G47" s="11">
        <v>10.49858</v>
      </c>
      <c r="H47" s="11">
        <v>-2.6938559999999998</v>
      </c>
      <c r="I47" s="11">
        <v>1.758934</v>
      </c>
      <c r="J47" s="11">
        <v>-0.78771800000000003</v>
      </c>
      <c r="K47" s="12">
        <v>298</v>
      </c>
      <c r="L47" s="12">
        <v>1159</v>
      </c>
      <c r="M47" s="10" t="s">
        <v>19</v>
      </c>
      <c r="N47" s="10" t="s">
        <v>20</v>
      </c>
      <c r="O47" s="13">
        <v>223.19900000000001</v>
      </c>
    </row>
    <row r="48" spans="1:15" ht="15" x14ac:dyDescent="0.3">
      <c r="A48" s="2">
        <v>47</v>
      </c>
      <c r="B48" s="3" t="s">
        <v>113</v>
      </c>
      <c r="C48" s="4" t="s">
        <v>114</v>
      </c>
      <c r="D48" s="4" t="s">
        <v>17</v>
      </c>
      <c r="E48" s="3" t="s">
        <v>71</v>
      </c>
      <c r="F48" s="5">
        <v>57.911160000000002</v>
      </c>
      <c r="G48" s="5">
        <v>48.885019999999997</v>
      </c>
      <c r="H48" s="5">
        <v>-34.775730000000003</v>
      </c>
      <c r="I48" s="5">
        <v>7.9754149999999999</v>
      </c>
      <c r="J48" s="5">
        <v>-0.75152600000000003</v>
      </c>
      <c r="K48" s="6">
        <v>298</v>
      </c>
      <c r="L48" s="6">
        <v>1200</v>
      </c>
      <c r="M48" s="4" t="s">
        <v>19</v>
      </c>
      <c r="N48" s="4" t="s">
        <v>20</v>
      </c>
      <c r="O48" s="7">
        <v>239.19800000000001</v>
      </c>
    </row>
    <row r="49" spans="1:15" ht="15" x14ac:dyDescent="0.3">
      <c r="A49" s="8">
        <v>48</v>
      </c>
      <c r="B49" s="9" t="s">
        <v>115</v>
      </c>
      <c r="C49" s="10" t="s">
        <v>116</v>
      </c>
      <c r="D49" s="10" t="s">
        <v>17</v>
      </c>
      <c r="E49" s="9" t="s">
        <v>71</v>
      </c>
      <c r="F49" s="11">
        <v>190.042</v>
      </c>
      <c r="G49" s="11">
        <v>7.4141300000000001</v>
      </c>
      <c r="H49" s="11">
        <v>15.069000000000001</v>
      </c>
      <c r="I49" s="11">
        <v>-1.458661</v>
      </c>
      <c r="J49" s="11">
        <v>-3.4504109999999999</v>
      </c>
      <c r="K49" s="12">
        <v>298</v>
      </c>
      <c r="L49" s="12">
        <v>1500</v>
      </c>
      <c r="M49" s="10" t="s">
        <v>19</v>
      </c>
      <c r="N49" s="10" t="s">
        <v>20</v>
      </c>
      <c r="O49" s="13">
        <v>685.596</v>
      </c>
    </row>
    <row r="50" spans="1:15" ht="15" x14ac:dyDescent="0.3">
      <c r="A50" s="2">
        <v>49</v>
      </c>
      <c r="B50" s="3" t="s">
        <v>117</v>
      </c>
      <c r="C50" s="4" t="s">
        <v>118</v>
      </c>
      <c r="D50" s="4" t="s">
        <v>17</v>
      </c>
      <c r="E50" s="3" t="s">
        <v>119</v>
      </c>
      <c r="F50" s="5">
        <v>48.56494</v>
      </c>
      <c r="G50" s="5">
        <v>7.4986069999999998</v>
      </c>
      <c r="H50" s="5">
        <v>-5.5980000000000002E-2</v>
      </c>
      <c r="I50" s="5">
        <v>1.3851E-2</v>
      </c>
      <c r="J50" s="5">
        <v>-0.76008200000000004</v>
      </c>
      <c r="K50" s="6">
        <v>298</v>
      </c>
      <c r="L50" s="6">
        <v>2000</v>
      </c>
      <c r="M50" s="4" t="s">
        <v>19</v>
      </c>
      <c r="N50" s="4" t="s">
        <v>20</v>
      </c>
      <c r="O50" s="7">
        <v>79.545000000000002</v>
      </c>
    </row>
    <row r="51" spans="1:15" ht="15" x14ac:dyDescent="0.3">
      <c r="A51" s="8">
        <v>50</v>
      </c>
      <c r="B51" s="9" t="s">
        <v>120</v>
      </c>
      <c r="C51" s="10" t="s">
        <v>121</v>
      </c>
      <c r="D51" s="10" t="s">
        <v>17</v>
      </c>
      <c r="E51" s="9" t="s">
        <v>119</v>
      </c>
      <c r="F51" s="11">
        <v>59.42033</v>
      </c>
      <c r="G51" s="11">
        <v>37.847670000000001</v>
      </c>
      <c r="H51" s="11">
        <v>-26.45083</v>
      </c>
      <c r="I51" s="11">
        <v>11.076090000000001</v>
      </c>
      <c r="J51" s="11">
        <v>-0.54218</v>
      </c>
      <c r="K51" s="12">
        <v>298</v>
      </c>
      <c r="L51" s="12">
        <v>1100</v>
      </c>
      <c r="M51" s="10" t="s">
        <v>19</v>
      </c>
      <c r="N51" s="10" t="s">
        <v>20</v>
      </c>
      <c r="O51" s="13">
        <v>143.09100000000001</v>
      </c>
    </row>
    <row r="52" spans="1:15" ht="15" x14ac:dyDescent="0.3">
      <c r="A52" s="2">
        <v>51</v>
      </c>
      <c r="B52" s="3" t="s">
        <v>122</v>
      </c>
      <c r="C52" s="4" t="s">
        <v>123</v>
      </c>
      <c r="D52" s="4" t="s">
        <v>17</v>
      </c>
      <c r="E52" s="3" t="s">
        <v>78</v>
      </c>
      <c r="F52" s="5">
        <v>104.20959999999999</v>
      </c>
      <c r="G52" s="5">
        <v>178.51079999999999</v>
      </c>
      <c r="H52" s="5">
        <v>10.6151</v>
      </c>
      <c r="I52" s="5">
        <v>1.1325339999999999</v>
      </c>
      <c r="J52" s="5">
        <v>-0.99420200000000003</v>
      </c>
      <c r="K52" s="6">
        <v>298</v>
      </c>
      <c r="L52" s="6">
        <v>900</v>
      </c>
      <c r="M52" s="4" t="s">
        <v>19</v>
      </c>
      <c r="N52" s="4" t="s">
        <v>20</v>
      </c>
      <c r="O52" s="7">
        <v>104.628</v>
      </c>
    </row>
    <row r="53" spans="1:15" ht="15" x14ac:dyDescent="0.3">
      <c r="A53" s="8">
        <v>52</v>
      </c>
      <c r="B53" s="9" t="s">
        <v>124</v>
      </c>
      <c r="C53" s="10" t="s">
        <v>125</v>
      </c>
      <c r="D53" s="10" t="s">
        <v>17</v>
      </c>
      <c r="E53" s="9" t="s">
        <v>71</v>
      </c>
      <c r="F53" s="11">
        <v>116.057</v>
      </c>
      <c r="G53" s="11">
        <v>117.181</v>
      </c>
      <c r="H53" s="11">
        <v>-71.763199999999998</v>
      </c>
      <c r="I53" s="11">
        <v>15.308400000000001</v>
      </c>
      <c r="J53" s="11">
        <v>-1.1608909999999999</v>
      </c>
      <c r="K53" s="12">
        <v>298</v>
      </c>
      <c r="L53" s="12">
        <v>1785</v>
      </c>
      <c r="M53" s="10" t="s">
        <v>19</v>
      </c>
      <c r="N53" s="10" t="s">
        <v>20</v>
      </c>
      <c r="O53" s="13">
        <v>265.80700000000002</v>
      </c>
    </row>
    <row r="54" spans="1:15" ht="15" x14ac:dyDescent="0.3">
      <c r="A54" s="2">
        <v>53</v>
      </c>
      <c r="B54" s="3" t="s">
        <v>126</v>
      </c>
      <c r="C54" s="4" t="s">
        <v>127</v>
      </c>
      <c r="D54" s="4" t="s">
        <v>17</v>
      </c>
      <c r="E54" s="3" t="s">
        <v>71</v>
      </c>
      <c r="F54" s="5">
        <v>131.9759</v>
      </c>
      <c r="G54" s="5">
        <v>80.027370000000005</v>
      </c>
      <c r="H54" s="5">
        <v>-33.89676</v>
      </c>
      <c r="I54" s="5">
        <v>5.2804589999999996</v>
      </c>
      <c r="J54" s="5">
        <v>-1.6257219999999999</v>
      </c>
      <c r="K54" s="6">
        <v>298</v>
      </c>
      <c r="L54" s="6">
        <v>2058</v>
      </c>
      <c r="M54" s="4" t="s">
        <v>19</v>
      </c>
      <c r="N54" s="4" t="s">
        <v>20</v>
      </c>
      <c r="O54" s="7">
        <v>441.89499999999998</v>
      </c>
    </row>
    <row r="55" spans="1:15" ht="15" x14ac:dyDescent="0.3">
      <c r="A55" s="8">
        <v>54</v>
      </c>
      <c r="B55" s="9" t="s">
        <v>128</v>
      </c>
      <c r="C55" s="10" t="s">
        <v>129</v>
      </c>
      <c r="D55" s="10" t="s">
        <v>17</v>
      </c>
      <c r="E55" s="9" t="s">
        <v>78</v>
      </c>
      <c r="F55" s="11">
        <v>5.4315009999999999</v>
      </c>
      <c r="G55" s="11">
        <v>272.56169999999997</v>
      </c>
      <c r="H55" s="11">
        <v>-252.4956</v>
      </c>
      <c r="I55" s="11">
        <v>97.6554</v>
      </c>
      <c r="J55" s="11">
        <v>-0.377274</v>
      </c>
      <c r="K55" s="12">
        <v>298</v>
      </c>
      <c r="L55" s="12">
        <v>723</v>
      </c>
      <c r="M55" s="10" t="s">
        <v>19</v>
      </c>
      <c r="N55" s="10" t="s">
        <v>20</v>
      </c>
      <c r="O55" s="13">
        <v>69.617000000000004</v>
      </c>
    </row>
    <row r="56" spans="1:15" ht="15" x14ac:dyDescent="0.3">
      <c r="A56" s="2">
        <v>55</v>
      </c>
      <c r="B56" s="3" t="s">
        <v>130</v>
      </c>
      <c r="C56" s="4" t="s">
        <v>131</v>
      </c>
      <c r="D56" s="4" t="s">
        <v>17</v>
      </c>
      <c r="E56" s="3" t="s">
        <v>132</v>
      </c>
      <c r="F56" s="5">
        <v>20.558589999999999</v>
      </c>
      <c r="G56" s="5">
        <v>64.579620000000006</v>
      </c>
      <c r="H56" s="5">
        <v>-52.98827</v>
      </c>
      <c r="I56" s="5">
        <v>16.958130000000001</v>
      </c>
      <c r="J56" s="5">
        <v>-0.78184699999999996</v>
      </c>
      <c r="K56" s="6">
        <v>298</v>
      </c>
      <c r="L56" s="6">
        <v>1000</v>
      </c>
      <c r="M56" s="4" t="s">
        <v>19</v>
      </c>
      <c r="N56" s="4" t="s">
        <v>20</v>
      </c>
      <c r="O56" s="7">
        <v>40.095999999999997</v>
      </c>
    </row>
    <row r="57" spans="1:15" ht="15" x14ac:dyDescent="0.3">
      <c r="A57" s="8">
        <v>56</v>
      </c>
      <c r="B57" s="9" t="s">
        <v>133</v>
      </c>
      <c r="C57" s="10" t="s">
        <v>134</v>
      </c>
      <c r="D57" s="10" t="s">
        <v>17</v>
      </c>
      <c r="E57" s="9" t="s">
        <v>132</v>
      </c>
      <c r="F57" s="11">
        <v>95.998530000000002</v>
      </c>
      <c r="G57" s="11">
        <v>23.165130000000001</v>
      </c>
      <c r="H57" s="11">
        <v>-0.40960400000000002</v>
      </c>
      <c r="I57" s="11">
        <v>8.1414E-2</v>
      </c>
      <c r="J57" s="11">
        <v>-4.3952080000000002</v>
      </c>
      <c r="K57" s="12">
        <v>298</v>
      </c>
      <c r="L57" s="12">
        <v>2743</v>
      </c>
      <c r="M57" s="10" t="s">
        <v>19</v>
      </c>
      <c r="N57" s="10" t="s">
        <v>20</v>
      </c>
      <c r="O57" s="13">
        <v>55.250999999999998</v>
      </c>
    </row>
    <row r="58" spans="1:15" ht="15" x14ac:dyDescent="0.3">
      <c r="A58" s="2">
        <v>57</v>
      </c>
      <c r="B58" s="3" t="s">
        <v>135</v>
      </c>
      <c r="C58" s="4" t="s">
        <v>136</v>
      </c>
      <c r="D58" s="4" t="s">
        <v>17</v>
      </c>
      <c r="E58" s="3" t="s">
        <v>132</v>
      </c>
      <c r="F58" s="5">
        <v>51.027230000000003</v>
      </c>
      <c r="G58" s="5">
        <v>3.6856399999999998</v>
      </c>
      <c r="H58" s="5">
        <v>-0.19900399999999999</v>
      </c>
      <c r="I58" s="5">
        <v>2.8937999999999998E-2</v>
      </c>
      <c r="J58" s="5">
        <v>-1.3038099999999999</v>
      </c>
      <c r="K58" s="6">
        <v>298</v>
      </c>
      <c r="L58" s="6">
        <v>3805</v>
      </c>
      <c r="M58" s="4" t="s">
        <v>19</v>
      </c>
      <c r="N58" s="4" t="s">
        <v>20</v>
      </c>
      <c r="O58" s="7">
        <v>103.235</v>
      </c>
    </row>
    <row r="59" spans="1:15" ht="15" x14ac:dyDescent="0.3">
      <c r="A59" s="8">
        <v>58</v>
      </c>
      <c r="B59" s="9" t="s">
        <v>137</v>
      </c>
      <c r="C59" s="10" t="s">
        <v>138</v>
      </c>
      <c r="D59" s="10" t="s">
        <v>17</v>
      </c>
      <c r="E59" s="9" t="s">
        <v>132</v>
      </c>
      <c r="F59" s="11">
        <v>131.7843</v>
      </c>
      <c r="G59" s="11">
        <v>7.5155940000000001</v>
      </c>
      <c r="H59" s="11">
        <v>10.90924</v>
      </c>
      <c r="I59" s="11">
        <v>-1.568365</v>
      </c>
      <c r="J59" s="11">
        <v>-3.1891409999999998</v>
      </c>
      <c r="K59" s="12">
        <v>298</v>
      </c>
      <c r="L59" s="12">
        <v>2500</v>
      </c>
      <c r="M59" s="10" t="s">
        <v>19</v>
      </c>
      <c r="N59" s="10" t="s">
        <v>20</v>
      </c>
      <c r="O59" s="13">
        <v>180.01</v>
      </c>
    </row>
    <row r="60" spans="1:15" ht="15" x14ac:dyDescent="0.3">
      <c r="A60" s="2">
        <v>59</v>
      </c>
      <c r="B60" s="3" t="s">
        <v>139</v>
      </c>
      <c r="C60" s="4" t="s">
        <v>140</v>
      </c>
      <c r="D60" s="4" t="s">
        <v>17</v>
      </c>
      <c r="E60" s="3" t="s">
        <v>132</v>
      </c>
      <c r="F60" s="5">
        <v>253.42320000000001</v>
      </c>
      <c r="G60" s="5">
        <v>23.70646</v>
      </c>
      <c r="H60" s="5">
        <v>26.345770000000002</v>
      </c>
      <c r="I60" s="5">
        <v>-4.1750249999999998</v>
      </c>
      <c r="J60" s="5">
        <v>-4.7203049999999998</v>
      </c>
      <c r="K60" s="6">
        <v>298</v>
      </c>
      <c r="L60" s="6">
        <v>2500</v>
      </c>
      <c r="M60" s="4" t="s">
        <v>19</v>
      </c>
      <c r="N60" s="4" t="s">
        <v>20</v>
      </c>
      <c r="O60" s="7">
        <v>400.005</v>
      </c>
    </row>
    <row r="61" spans="1:15" ht="15" x14ac:dyDescent="0.3">
      <c r="A61" s="8">
        <v>60</v>
      </c>
      <c r="B61" s="9" t="s">
        <v>141</v>
      </c>
      <c r="C61" s="10" t="s">
        <v>142</v>
      </c>
      <c r="D61" s="10" t="s">
        <v>17</v>
      </c>
      <c r="E61" s="9" t="s">
        <v>132</v>
      </c>
      <c r="F61" s="11">
        <v>44.29224</v>
      </c>
      <c r="G61" s="11">
        <v>7.6737070000000003</v>
      </c>
      <c r="H61" s="11">
        <v>-9.1309000000000001E-2</v>
      </c>
      <c r="I61" s="11">
        <v>1.0861000000000001E-2</v>
      </c>
      <c r="J61" s="11">
        <v>-0.87554799999999999</v>
      </c>
      <c r="K61" s="12">
        <v>298</v>
      </c>
      <c r="L61" s="12">
        <v>4273</v>
      </c>
      <c r="M61" s="10" t="s">
        <v>19</v>
      </c>
      <c r="N61" s="10" t="s">
        <v>20</v>
      </c>
      <c r="O61" s="13">
        <v>104.917</v>
      </c>
    </row>
    <row r="62" spans="1:15" ht="15" x14ac:dyDescent="0.3">
      <c r="A62" s="2">
        <v>61</v>
      </c>
      <c r="B62" s="3" t="s">
        <v>143</v>
      </c>
      <c r="C62" s="4" t="s">
        <v>144</v>
      </c>
      <c r="D62" s="4" t="s">
        <v>17</v>
      </c>
      <c r="E62" s="3" t="s">
        <v>145</v>
      </c>
      <c r="F62" s="5">
        <v>17.23264</v>
      </c>
      <c r="G62" s="5">
        <v>85.638109999999998</v>
      </c>
      <c r="H62" s="5">
        <v>-83.272900000000007</v>
      </c>
      <c r="I62" s="5">
        <v>29.634270000000001</v>
      </c>
      <c r="J62" s="5">
        <v>-0.53793299999999999</v>
      </c>
      <c r="K62" s="6">
        <v>298</v>
      </c>
      <c r="L62" s="6">
        <v>900</v>
      </c>
      <c r="M62" s="4" t="s">
        <v>19</v>
      </c>
      <c r="N62" s="4" t="s">
        <v>20</v>
      </c>
      <c r="O62" s="7">
        <v>40.988999999999997</v>
      </c>
    </row>
    <row r="63" spans="1:15" ht="15" x14ac:dyDescent="0.3">
      <c r="A63" s="8">
        <v>62</v>
      </c>
      <c r="B63" s="9" t="s">
        <v>146</v>
      </c>
      <c r="C63" s="10" t="s">
        <v>147</v>
      </c>
      <c r="D63" s="10" t="s">
        <v>17</v>
      </c>
      <c r="E63" s="9" t="s">
        <v>145</v>
      </c>
      <c r="F63" s="11">
        <v>50.407159999999998</v>
      </c>
      <c r="G63" s="11">
        <v>0.59650899999999996</v>
      </c>
      <c r="H63" s="11">
        <v>2.9447589999999999</v>
      </c>
      <c r="I63" s="11">
        <v>-0.30501200000000001</v>
      </c>
      <c r="J63" s="11">
        <v>-1.2096789999999999</v>
      </c>
      <c r="K63" s="12">
        <v>298</v>
      </c>
      <c r="L63" s="12">
        <v>3220</v>
      </c>
      <c r="M63" s="10" t="s">
        <v>19</v>
      </c>
      <c r="N63" s="10" t="s">
        <v>20</v>
      </c>
      <c r="O63" s="13">
        <v>61.874000000000002</v>
      </c>
    </row>
    <row r="64" spans="1:15" ht="15" x14ac:dyDescent="0.3">
      <c r="A64" s="2">
        <v>63</v>
      </c>
      <c r="B64" s="3" t="s">
        <v>148</v>
      </c>
      <c r="C64" s="4" t="s">
        <v>149</v>
      </c>
      <c r="D64" s="4" t="s">
        <v>17</v>
      </c>
      <c r="E64" s="3" t="s">
        <v>145</v>
      </c>
      <c r="F64" s="5">
        <v>-1.6264259999999999</v>
      </c>
      <c r="G64" s="5">
        <v>101.9817</v>
      </c>
      <c r="H64" s="5">
        <v>-81.524820000000005</v>
      </c>
      <c r="I64" s="5">
        <v>25.650929999999999</v>
      </c>
      <c r="J64" s="5">
        <v>-0.223052</v>
      </c>
      <c r="K64" s="6">
        <v>298</v>
      </c>
      <c r="L64" s="6">
        <v>1100</v>
      </c>
      <c r="M64" s="4" t="s">
        <v>19</v>
      </c>
      <c r="N64" s="4" t="s">
        <v>20</v>
      </c>
      <c r="O64" s="7">
        <v>24.817</v>
      </c>
    </row>
    <row r="65" spans="1:15" ht="15" x14ac:dyDescent="0.3">
      <c r="A65" s="8">
        <v>64</v>
      </c>
      <c r="B65" s="9" t="s">
        <v>150</v>
      </c>
      <c r="C65" s="10" t="s">
        <v>151</v>
      </c>
      <c r="D65" s="10" t="s">
        <v>17</v>
      </c>
      <c r="E65" s="9" t="s">
        <v>145</v>
      </c>
      <c r="F65" s="11">
        <v>55.63214</v>
      </c>
      <c r="G65" s="11">
        <v>157.7037</v>
      </c>
      <c r="H65" s="11">
        <v>-63.613950000000003</v>
      </c>
      <c r="I65" s="11">
        <v>8.6109240000000007</v>
      </c>
      <c r="J65" s="11">
        <v>0.21343999999999999</v>
      </c>
      <c r="K65" s="12">
        <v>298</v>
      </c>
      <c r="L65" s="12">
        <v>3000</v>
      </c>
      <c r="M65" s="10" t="s">
        <v>19</v>
      </c>
      <c r="N65" s="10" t="s">
        <v>20</v>
      </c>
      <c r="O65" s="13">
        <v>140.28299999999999</v>
      </c>
    </row>
    <row r="66" spans="1:15" ht="15" x14ac:dyDescent="0.3">
      <c r="A66" s="2">
        <v>65</v>
      </c>
      <c r="B66" s="3" t="s">
        <v>152</v>
      </c>
      <c r="C66" s="4" t="s">
        <v>153</v>
      </c>
      <c r="D66" s="4" t="s">
        <v>17</v>
      </c>
      <c r="E66" s="3" t="s">
        <v>145</v>
      </c>
      <c r="F66" s="5">
        <v>46.457880000000003</v>
      </c>
      <c r="G66" s="5">
        <v>7.0063170000000001</v>
      </c>
      <c r="H66" s="5">
        <v>7.7910000000000002E-3</v>
      </c>
      <c r="I66" s="5">
        <v>-7.1900000000000002E-4</v>
      </c>
      <c r="J66" s="5">
        <v>-0.72052700000000003</v>
      </c>
      <c r="K66" s="6">
        <v>298</v>
      </c>
      <c r="L66" s="6">
        <v>3225</v>
      </c>
      <c r="M66" s="4" t="s">
        <v>19</v>
      </c>
      <c r="N66" s="4" t="s">
        <v>20</v>
      </c>
      <c r="O66" s="7">
        <v>105.23099999999999</v>
      </c>
    </row>
    <row r="67" spans="1:15" ht="15" x14ac:dyDescent="0.3">
      <c r="A67" s="8">
        <v>66</v>
      </c>
      <c r="B67" s="9" t="s">
        <v>154</v>
      </c>
      <c r="C67" s="10" t="s">
        <v>155</v>
      </c>
      <c r="D67" s="10" t="s">
        <v>17</v>
      </c>
      <c r="E67" s="9" t="s">
        <v>145</v>
      </c>
      <c r="F67" s="11">
        <v>73.562669999999997</v>
      </c>
      <c r="G67" s="11">
        <v>8.7114659999999997</v>
      </c>
      <c r="H67" s="11">
        <v>11.7042</v>
      </c>
      <c r="I67" s="11">
        <v>-2.4897740000000002</v>
      </c>
      <c r="J67" s="11">
        <v>-0.97206499999999996</v>
      </c>
      <c r="K67" s="12">
        <v>298</v>
      </c>
      <c r="L67" s="12">
        <v>2500</v>
      </c>
      <c r="M67" s="10" t="s">
        <v>19</v>
      </c>
      <c r="N67" s="10" t="s">
        <v>20</v>
      </c>
      <c r="O67" s="13">
        <v>117.999</v>
      </c>
    </row>
    <row r="68" spans="1:15" ht="15" x14ac:dyDescent="0.3">
      <c r="A68" s="2">
        <v>67</v>
      </c>
      <c r="B68" s="3" t="s">
        <v>156</v>
      </c>
      <c r="C68" s="4" t="s">
        <v>157</v>
      </c>
      <c r="D68" s="4" t="s">
        <v>17</v>
      </c>
      <c r="E68" s="3" t="s">
        <v>145</v>
      </c>
      <c r="F68" s="5">
        <v>95.871340000000004</v>
      </c>
      <c r="G68" s="5">
        <v>29.00855</v>
      </c>
      <c r="H68" s="5">
        <v>1.9794769999999999</v>
      </c>
      <c r="I68" s="5">
        <v>-0.88486600000000004</v>
      </c>
      <c r="J68" s="5">
        <v>-1.2756999999999999E-2</v>
      </c>
      <c r="K68" s="6">
        <v>298</v>
      </c>
      <c r="L68" s="6">
        <v>823</v>
      </c>
      <c r="M68" s="4" t="s">
        <v>19</v>
      </c>
      <c r="N68" s="4" t="s">
        <v>20</v>
      </c>
      <c r="O68" s="7">
        <v>100.929</v>
      </c>
    </row>
    <row r="69" spans="1:15" ht="15" x14ac:dyDescent="0.3">
      <c r="A69" s="8">
        <v>68</v>
      </c>
      <c r="B69" s="9" t="s">
        <v>158</v>
      </c>
      <c r="C69" s="10" t="s">
        <v>159</v>
      </c>
      <c r="D69" s="10" t="s">
        <v>17</v>
      </c>
      <c r="E69" s="9" t="s">
        <v>160</v>
      </c>
      <c r="F69" s="11">
        <v>52.332639999999998</v>
      </c>
      <c r="G69" s="11">
        <v>33.694839999999999</v>
      </c>
      <c r="H69" s="11">
        <v>-7.9092659999999997</v>
      </c>
      <c r="I69" s="11">
        <v>0.80398899999999995</v>
      </c>
      <c r="J69" s="11">
        <v>-1.540905</v>
      </c>
      <c r="K69" s="12">
        <v>298</v>
      </c>
      <c r="L69" s="12">
        <v>3193</v>
      </c>
      <c r="M69" s="10" t="s">
        <v>19</v>
      </c>
      <c r="N69" s="10" t="s">
        <v>20</v>
      </c>
      <c r="O69" s="13">
        <v>69.486999999999995</v>
      </c>
    </row>
    <row r="70" spans="1:15" ht="15" x14ac:dyDescent="0.3">
      <c r="A70" s="2">
        <v>69</v>
      </c>
      <c r="B70" s="3" t="s">
        <v>161</v>
      </c>
      <c r="C70" s="4" t="s">
        <v>162</v>
      </c>
      <c r="D70" s="4" t="s">
        <v>17</v>
      </c>
      <c r="E70" s="3" t="s">
        <v>160</v>
      </c>
      <c r="F70" s="5">
        <v>66.962410000000006</v>
      </c>
      <c r="G70" s="5">
        <v>5.6650099999999997</v>
      </c>
      <c r="H70" s="5">
        <v>1.4338789999999999</v>
      </c>
      <c r="I70" s="5">
        <v>-0.15166499999999999</v>
      </c>
      <c r="J70" s="5">
        <v>-1.8359989999999999</v>
      </c>
      <c r="K70" s="6">
        <v>298</v>
      </c>
      <c r="L70" s="6">
        <v>3323</v>
      </c>
      <c r="M70" s="4" t="s">
        <v>19</v>
      </c>
      <c r="N70" s="4" t="s">
        <v>20</v>
      </c>
      <c r="O70" s="7">
        <v>112.84399999999999</v>
      </c>
    </row>
    <row r="71" spans="1:15" ht="15" x14ac:dyDescent="0.3">
      <c r="A71" s="8">
        <v>70</v>
      </c>
      <c r="B71" s="9" t="s">
        <v>163</v>
      </c>
      <c r="C71" s="10" t="s">
        <v>164</v>
      </c>
      <c r="D71" s="10" t="s">
        <v>17</v>
      </c>
      <c r="E71" s="9" t="s">
        <v>165</v>
      </c>
      <c r="F71" s="11">
        <v>73.517899999999997</v>
      </c>
      <c r="G71" s="11">
        <v>13.9605</v>
      </c>
      <c r="H71" s="11">
        <v>1.4172769999999999</v>
      </c>
      <c r="I71" s="11">
        <v>-0.582179</v>
      </c>
      <c r="J71" s="11">
        <v>-0.88307899999999995</v>
      </c>
      <c r="K71" s="12">
        <v>298</v>
      </c>
      <c r="L71" s="12">
        <v>1375</v>
      </c>
      <c r="M71" s="10" t="s">
        <v>19</v>
      </c>
      <c r="N71" s="10" t="s">
        <v>20</v>
      </c>
      <c r="O71" s="13">
        <v>76.694999999999993</v>
      </c>
    </row>
    <row r="72" spans="1:15" ht="15" x14ac:dyDescent="0.3">
      <c r="A72" s="2">
        <v>71</v>
      </c>
      <c r="B72" s="3" t="s">
        <v>166</v>
      </c>
      <c r="C72" s="4" t="s">
        <v>167</v>
      </c>
      <c r="D72" s="4" t="s">
        <v>17</v>
      </c>
      <c r="E72" s="3" t="s">
        <v>119</v>
      </c>
      <c r="F72" s="5">
        <v>22.81719</v>
      </c>
      <c r="G72" s="5">
        <v>3.8995099999999998</v>
      </c>
      <c r="H72" s="5">
        <v>-8.2885E-2</v>
      </c>
      <c r="I72" s="5">
        <v>4.2111000000000003E-2</v>
      </c>
      <c r="J72" s="5">
        <v>-0.35406300000000002</v>
      </c>
      <c r="K72" s="6">
        <v>298</v>
      </c>
      <c r="L72" s="6">
        <v>1685</v>
      </c>
      <c r="M72" s="4" t="s">
        <v>19</v>
      </c>
      <c r="N72" s="4" t="s">
        <v>20</v>
      </c>
      <c r="O72" s="7">
        <v>28.085000000000001</v>
      </c>
    </row>
    <row r="73" spans="1:15" ht="15" x14ac:dyDescent="0.3">
      <c r="A73" s="8">
        <v>72</v>
      </c>
      <c r="B73" s="9" t="s">
        <v>168</v>
      </c>
      <c r="C73" s="10" t="s">
        <v>169</v>
      </c>
      <c r="D73" s="10" t="s">
        <v>17</v>
      </c>
      <c r="E73" s="9" t="s">
        <v>119</v>
      </c>
      <c r="F73" s="11">
        <v>47.380870000000002</v>
      </c>
      <c r="G73" s="11">
        <v>7.5505300000000002</v>
      </c>
      <c r="H73" s="11">
        <v>2.0080939999999998</v>
      </c>
      <c r="I73" s="11">
        <v>-0.70045999999999997</v>
      </c>
      <c r="J73" s="11">
        <v>-3.1834000000000001E-2</v>
      </c>
      <c r="K73" s="12">
        <v>298</v>
      </c>
      <c r="L73" s="12">
        <v>1386.5</v>
      </c>
      <c r="M73" s="10" t="s">
        <v>19</v>
      </c>
      <c r="N73" s="10" t="s">
        <v>20</v>
      </c>
      <c r="O73" s="13">
        <v>239.26</v>
      </c>
    </row>
    <row r="74" spans="1:15" ht="15" x14ac:dyDescent="0.3">
      <c r="A74" s="2">
        <v>73</v>
      </c>
      <c r="B74" s="3" t="s">
        <v>170</v>
      </c>
      <c r="C74" s="4" t="s">
        <v>171</v>
      </c>
      <c r="D74" s="4" t="s">
        <v>17</v>
      </c>
      <c r="E74" s="3" t="s">
        <v>119</v>
      </c>
      <c r="F74" s="5">
        <v>71.673180000000002</v>
      </c>
      <c r="G74" s="5">
        <v>7.5153429999999997</v>
      </c>
      <c r="H74" s="5">
        <v>-4.4947000000000001E-2</v>
      </c>
      <c r="I74" s="5">
        <v>8.8660000000000006E-3</v>
      </c>
      <c r="J74" s="5">
        <v>-0.92121200000000003</v>
      </c>
      <c r="K74" s="6">
        <v>298</v>
      </c>
      <c r="L74" s="6">
        <v>2400</v>
      </c>
      <c r="M74" s="4" t="s">
        <v>19</v>
      </c>
      <c r="N74" s="4" t="s">
        <v>20</v>
      </c>
      <c r="O74" s="7">
        <v>160.07</v>
      </c>
    </row>
    <row r="75" spans="1:15" ht="15" x14ac:dyDescent="0.3">
      <c r="A75" s="8">
        <v>74</v>
      </c>
      <c r="B75" s="9" t="s">
        <v>172</v>
      </c>
      <c r="C75" s="10" t="s">
        <v>173</v>
      </c>
      <c r="D75" s="10" t="s">
        <v>17</v>
      </c>
      <c r="E75" s="9" t="s">
        <v>78</v>
      </c>
      <c r="F75" s="11">
        <v>329.85649999999998</v>
      </c>
      <c r="G75" s="11">
        <v>386.14850000000001</v>
      </c>
      <c r="H75" s="11">
        <v>-254.57509999999999</v>
      </c>
      <c r="I75" s="11">
        <v>61.345390000000002</v>
      </c>
      <c r="J75" s="11">
        <v>-8.7824679999999997</v>
      </c>
      <c r="K75" s="12">
        <v>298</v>
      </c>
      <c r="L75" s="12">
        <v>1700</v>
      </c>
      <c r="M75" s="10" t="s">
        <v>19</v>
      </c>
      <c r="N75" s="10" t="s">
        <v>20</v>
      </c>
      <c r="O75" s="13">
        <v>426.05</v>
      </c>
    </row>
    <row r="76" spans="1:15" ht="15" x14ac:dyDescent="0.3">
      <c r="A76" s="2">
        <v>75</v>
      </c>
      <c r="B76" s="3" t="s">
        <v>174</v>
      </c>
      <c r="C76" s="4" t="s">
        <v>175</v>
      </c>
      <c r="D76" s="4" t="s">
        <v>17</v>
      </c>
      <c r="E76" s="3" t="s">
        <v>78</v>
      </c>
      <c r="F76" s="5">
        <v>146.55510000000001</v>
      </c>
      <c r="G76" s="5">
        <v>35.912950000000002</v>
      </c>
      <c r="H76" s="5">
        <v>-0.183978</v>
      </c>
      <c r="I76" s="5">
        <v>3.1408999999999999E-2</v>
      </c>
      <c r="J76" s="5">
        <v>-3.6599409999999999</v>
      </c>
      <c r="K76" s="6">
        <v>298</v>
      </c>
      <c r="L76" s="6">
        <v>2408</v>
      </c>
      <c r="M76" s="4" t="s">
        <v>19</v>
      </c>
      <c r="N76" s="4" t="s">
        <v>20</v>
      </c>
      <c r="O76" s="7">
        <v>142.26499999999999</v>
      </c>
    </row>
    <row r="77" spans="1:15" ht="15" x14ac:dyDescent="0.3">
      <c r="A77" s="8">
        <v>76</v>
      </c>
      <c r="B77" s="9" t="s">
        <v>176</v>
      </c>
      <c r="C77" s="10" t="s">
        <v>177</v>
      </c>
      <c r="D77" s="10" t="s">
        <v>17</v>
      </c>
      <c r="E77" s="9" t="s">
        <v>78</v>
      </c>
      <c r="F77" s="11">
        <v>85.171599999999998</v>
      </c>
      <c r="G77" s="11">
        <v>136.98920000000001</v>
      </c>
      <c r="H77" s="11">
        <v>-94.572209999999998</v>
      </c>
      <c r="I77" s="11">
        <v>21.71923</v>
      </c>
      <c r="J77" s="11">
        <v>-1.7423679999999999</v>
      </c>
      <c r="K77" s="12">
        <v>298</v>
      </c>
      <c r="L77" s="12">
        <v>1700</v>
      </c>
      <c r="M77" s="10" t="s">
        <v>19</v>
      </c>
      <c r="N77" s="10" t="s">
        <v>20</v>
      </c>
      <c r="O77" s="13">
        <v>183.30500000000001</v>
      </c>
    </row>
    <row r="78" spans="1:15" ht="15" x14ac:dyDescent="0.3">
      <c r="A78" s="2">
        <v>77</v>
      </c>
      <c r="B78" s="3" t="s">
        <v>178</v>
      </c>
      <c r="C78" s="4" t="s">
        <v>179</v>
      </c>
      <c r="D78" s="4" t="s">
        <v>17</v>
      </c>
      <c r="E78" s="3" t="s">
        <v>78</v>
      </c>
      <c r="F78" s="5">
        <v>170.77459999999999</v>
      </c>
      <c r="G78" s="5">
        <v>31.505649999999999</v>
      </c>
      <c r="H78" s="5">
        <v>-3.8176619999999999</v>
      </c>
      <c r="I78" s="5">
        <v>0.57267699999999999</v>
      </c>
      <c r="J78" s="5">
        <v>-5.1063210000000003</v>
      </c>
      <c r="K78" s="6">
        <v>298</v>
      </c>
      <c r="L78" s="6">
        <v>3000</v>
      </c>
      <c r="M78" s="4" t="s">
        <v>19</v>
      </c>
      <c r="N78" s="4" t="s">
        <v>20</v>
      </c>
      <c r="O78" s="7">
        <v>162.04400000000001</v>
      </c>
    </row>
    <row r="79" spans="1:15" ht="15" x14ac:dyDescent="0.3">
      <c r="A79" s="8">
        <v>78</v>
      </c>
      <c r="B79" s="9" t="s">
        <v>180</v>
      </c>
      <c r="C79" s="10" t="s">
        <v>179</v>
      </c>
      <c r="D79" s="10" t="s">
        <v>17</v>
      </c>
      <c r="E79" s="9" t="s">
        <v>78</v>
      </c>
      <c r="F79" s="11">
        <v>329.85649999999998</v>
      </c>
      <c r="G79" s="11">
        <v>386.14850000000001</v>
      </c>
      <c r="H79" s="11">
        <v>-254.57509999999999</v>
      </c>
      <c r="I79" s="11">
        <v>61.345390000000002</v>
      </c>
      <c r="J79" s="11">
        <v>-8.7824679999999997</v>
      </c>
      <c r="K79" s="12">
        <v>298</v>
      </c>
      <c r="L79" s="12">
        <v>1700</v>
      </c>
      <c r="M79" s="10" t="s">
        <v>19</v>
      </c>
      <c r="N79" s="10" t="s">
        <v>20</v>
      </c>
      <c r="O79" s="13">
        <v>162.04400000000001</v>
      </c>
    </row>
    <row r="80" spans="1:15" ht="15" x14ac:dyDescent="0.3">
      <c r="A80" s="2">
        <v>79</v>
      </c>
      <c r="B80" s="3" t="s">
        <v>181</v>
      </c>
      <c r="C80" s="4" t="s">
        <v>182</v>
      </c>
      <c r="D80" s="4" t="s">
        <v>17</v>
      </c>
      <c r="E80" s="3" t="s">
        <v>183</v>
      </c>
      <c r="F80" s="5">
        <v>50.723889999999997</v>
      </c>
      <c r="G80" s="5">
        <v>6.6722669999999997</v>
      </c>
      <c r="H80" s="5">
        <v>-2.5171670000000002</v>
      </c>
      <c r="I80" s="5">
        <v>10.15934</v>
      </c>
      <c r="J80" s="5">
        <v>-0.20067499999999999</v>
      </c>
      <c r="K80" s="6">
        <v>298</v>
      </c>
      <c r="L80" s="6">
        <v>1073</v>
      </c>
      <c r="M80" s="4" t="s">
        <v>19</v>
      </c>
      <c r="N80" s="4" t="s">
        <v>20</v>
      </c>
      <c r="O80" s="7">
        <v>58.44</v>
      </c>
    </row>
    <row r="81" spans="1:15" ht="15" x14ac:dyDescent="0.3">
      <c r="A81" s="8">
        <v>80</v>
      </c>
      <c r="B81" s="9" t="s">
        <v>184</v>
      </c>
      <c r="C81" s="10" t="s">
        <v>185</v>
      </c>
      <c r="D81" s="10" t="s">
        <v>17</v>
      </c>
      <c r="E81" s="9" t="s">
        <v>183</v>
      </c>
      <c r="F81" s="11">
        <v>35.415970000000002</v>
      </c>
      <c r="G81" s="11">
        <v>70.034719999999993</v>
      </c>
      <c r="H81" s="11">
        <v>-91.382329999999996</v>
      </c>
      <c r="I81" s="11">
        <v>52.524259999999998</v>
      </c>
      <c r="J81" s="11">
        <v>0.15346000000000001</v>
      </c>
      <c r="K81" s="12">
        <v>298</v>
      </c>
      <c r="L81" s="12">
        <v>900</v>
      </c>
      <c r="M81" s="10" t="s">
        <v>19</v>
      </c>
      <c r="N81" s="10" t="s">
        <v>20</v>
      </c>
      <c r="O81" s="13">
        <v>74.548000000000002</v>
      </c>
    </row>
    <row r="82" spans="1:15" ht="15" x14ac:dyDescent="0.3">
      <c r="A82" s="2">
        <v>81</v>
      </c>
      <c r="B82" s="3" t="s">
        <v>186</v>
      </c>
      <c r="C82" s="4" t="s">
        <v>187</v>
      </c>
      <c r="D82" s="4" t="s">
        <v>17</v>
      </c>
      <c r="E82" s="3" t="s">
        <v>183</v>
      </c>
      <c r="F82" s="5">
        <v>41.758369999999999</v>
      </c>
      <c r="G82" s="5">
        <v>18.711099999999998</v>
      </c>
      <c r="H82" s="5">
        <v>0.69367400000000001</v>
      </c>
      <c r="I82" s="5">
        <v>-0.99262099999999998</v>
      </c>
      <c r="J82" s="5">
        <v>-0.48705500000000002</v>
      </c>
      <c r="K82" s="6">
        <v>298</v>
      </c>
      <c r="L82" s="6">
        <v>1121.3</v>
      </c>
      <c r="M82" s="4" t="s">
        <v>19</v>
      </c>
      <c r="N82" s="4" t="s">
        <v>20</v>
      </c>
      <c r="O82" s="7">
        <v>25.937999999999999</v>
      </c>
    </row>
    <row r="83" spans="1:15" ht="15" x14ac:dyDescent="0.3">
      <c r="A83" s="8">
        <v>82</v>
      </c>
      <c r="B83" s="9" t="s">
        <v>188</v>
      </c>
      <c r="C83" s="10" t="s">
        <v>189</v>
      </c>
      <c r="D83" s="10" t="s">
        <v>17</v>
      </c>
      <c r="E83" s="9" t="s">
        <v>183</v>
      </c>
      <c r="F83" s="11">
        <v>53.002200000000002</v>
      </c>
      <c r="G83" s="11">
        <v>-5.9521499999999996</v>
      </c>
      <c r="H83" s="11">
        <v>12.563499999999999</v>
      </c>
      <c r="I83" s="11">
        <v>0.37822699999999998</v>
      </c>
      <c r="J83" s="11">
        <v>-0.48911300000000002</v>
      </c>
      <c r="K83" s="12">
        <v>298</v>
      </c>
      <c r="L83" s="12">
        <v>1269</v>
      </c>
      <c r="M83" s="10" t="s">
        <v>19</v>
      </c>
      <c r="N83" s="10" t="s">
        <v>20</v>
      </c>
      <c r="O83" s="13">
        <v>41.988</v>
      </c>
    </row>
    <row r="84" spans="1:15" ht="15" x14ac:dyDescent="0.3">
      <c r="A84" s="2">
        <v>83</v>
      </c>
      <c r="B84" s="3" t="s">
        <v>190</v>
      </c>
      <c r="C84" s="4" t="s">
        <v>191</v>
      </c>
      <c r="D84" s="4" t="s">
        <v>17</v>
      </c>
      <c r="E84" s="3" t="s">
        <v>183</v>
      </c>
      <c r="F84" s="5">
        <v>46.536119999999997</v>
      </c>
      <c r="G84" s="5">
        <v>13.966609999999999</v>
      </c>
      <c r="H84" s="5">
        <v>-2.3852120000000001</v>
      </c>
      <c r="I84" s="5">
        <v>2.8446769999999999</v>
      </c>
      <c r="J84" s="5">
        <v>-0.14077000000000001</v>
      </c>
      <c r="K84" s="6">
        <v>298</v>
      </c>
      <c r="L84" s="6">
        <v>900</v>
      </c>
      <c r="M84" s="4" t="s">
        <v>19</v>
      </c>
      <c r="N84" s="4" t="s">
        <v>20</v>
      </c>
      <c r="O84" s="7">
        <v>58.095999999999997</v>
      </c>
    </row>
    <row r="85" spans="1:15" ht="15" x14ac:dyDescent="0.3">
      <c r="A85" s="8">
        <v>84</v>
      </c>
      <c r="B85" s="9" t="s">
        <v>192</v>
      </c>
      <c r="C85" s="10" t="s">
        <v>193</v>
      </c>
      <c r="D85" s="10" t="s">
        <v>17</v>
      </c>
      <c r="E85" s="9" t="s">
        <v>183</v>
      </c>
      <c r="F85" s="11">
        <v>89.884039999999999</v>
      </c>
      <c r="G85" s="11">
        <v>-46.120229999999999</v>
      </c>
      <c r="H85" s="11">
        <v>65.277929999999998</v>
      </c>
      <c r="I85" s="11">
        <v>-17.86271</v>
      </c>
      <c r="J85" s="11">
        <v>-1.139438</v>
      </c>
      <c r="K85" s="12">
        <v>298</v>
      </c>
      <c r="L85" s="12">
        <v>1424</v>
      </c>
      <c r="M85" s="10" t="s">
        <v>19</v>
      </c>
      <c r="N85" s="10" t="s">
        <v>20</v>
      </c>
      <c r="O85" s="13">
        <v>78.073999999999998</v>
      </c>
    </row>
    <row r="86" spans="1:15" ht="15" x14ac:dyDescent="0.3">
      <c r="A86" s="2">
        <v>85</v>
      </c>
      <c r="B86" s="3" t="s">
        <v>194</v>
      </c>
      <c r="C86" s="4" t="s">
        <v>195</v>
      </c>
      <c r="D86" s="4" t="s">
        <v>17</v>
      </c>
      <c r="E86" s="3" t="s">
        <v>183</v>
      </c>
      <c r="F86" s="5">
        <v>68.551490000000001</v>
      </c>
      <c r="G86" s="5">
        <v>22.725860000000001</v>
      </c>
      <c r="H86" s="5">
        <v>-12.162179999999999</v>
      </c>
      <c r="I86" s="5">
        <v>2.5737169999999998</v>
      </c>
      <c r="J86" s="5">
        <v>-1.140865</v>
      </c>
      <c r="K86" s="6">
        <v>298</v>
      </c>
      <c r="L86" s="6">
        <v>1536</v>
      </c>
      <c r="M86" s="4" t="s">
        <v>19</v>
      </c>
      <c r="N86" s="4" t="s">
        <v>20</v>
      </c>
      <c r="O86" s="7">
        <v>62.301000000000002</v>
      </c>
    </row>
    <row r="87" spans="1:15" ht="15" x14ac:dyDescent="0.3">
      <c r="A87" s="8">
        <v>86</v>
      </c>
      <c r="B87" s="9" t="s">
        <v>196</v>
      </c>
      <c r="C87" s="10" t="s">
        <v>197</v>
      </c>
      <c r="D87" s="10" t="s">
        <v>17</v>
      </c>
      <c r="E87" s="9" t="s">
        <v>183</v>
      </c>
      <c r="F87" s="11">
        <v>50.752000000000002</v>
      </c>
      <c r="G87" s="11">
        <v>114.029</v>
      </c>
      <c r="H87" s="11">
        <v>-162.77699999999999</v>
      </c>
      <c r="I87" s="11">
        <v>92.216399999999993</v>
      </c>
      <c r="J87" s="11">
        <v>-4.5675E-2</v>
      </c>
      <c r="K87" s="12">
        <v>298</v>
      </c>
      <c r="L87" s="12">
        <v>900</v>
      </c>
      <c r="M87" s="10" t="s">
        <v>19</v>
      </c>
      <c r="N87" s="10" t="s">
        <v>20</v>
      </c>
      <c r="O87" s="13">
        <v>175.32599999999999</v>
      </c>
    </row>
    <row r="88" spans="1:15" ht="15" x14ac:dyDescent="0.3">
      <c r="A88" s="2">
        <v>87</v>
      </c>
      <c r="B88" s="3" t="s">
        <v>198</v>
      </c>
      <c r="C88" s="4" t="s">
        <v>199</v>
      </c>
      <c r="D88" s="4" t="s">
        <v>17</v>
      </c>
      <c r="E88" s="3" t="s">
        <v>183</v>
      </c>
      <c r="F88" s="5">
        <v>36.519399999999997</v>
      </c>
      <c r="G88" s="5">
        <v>168.76900000000001</v>
      </c>
      <c r="H88" s="5">
        <v>-230.88399999999999</v>
      </c>
      <c r="I88" s="5">
        <v>111.20399999999999</v>
      </c>
      <c r="J88" s="5">
        <v>6.8095000000000003E-2</v>
      </c>
      <c r="K88" s="6">
        <v>298</v>
      </c>
      <c r="L88" s="6">
        <v>1000</v>
      </c>
      <c r="M88" s="4" t="s">
        <v>19</v>
      </c>
      <c r="N88" s="4" t="s">
        <v>20</v>
      </c>
      <c r="O88" s="7">
        <v>125.616</v>
      </c>
    </row>
    <row r="89" spans="1:15" ht="15" x14ac:dyDescent="0.3">
      <c r="A89" s="8">
        <v>88</v>
      </c>
      <c r="B89" s="9" t="s">
        <v>200</v>
      </c>
      <c r="C89" s="10" t="s">
        <v>201</v>
      </c>
      <c r="D89" s="10" t="s">
        <v>17</v>
      </c>
      <c r="E89" s="9" t="s">
        <v>183</v>
      </c>
      <c r="F89" s="11">
        <v>44.431989999999999</v>
      </c>
      <c r="G89" s="11">
        <v>27.834060000000001</v>
      </c>
      <c r="H89" s="11">
        <v>-8.2534430000000008</v>
      </c>
      <c r="I89" s="11">
        <v>3.9685959999999998</v>
      </c>
      <c r="J89" s="11">
        <v>2.9749000000000001E-2</v>
      </c>
      <c r="K89" s="12">
        <v>298</v>
      </c>
      <c r="L89" s="12">
        <v>743</v>
      </c>
      <c r="M89" s="10" t="s">
        <v>19</v>
      </c>
      <c r="N89" s="10" t="s">
        <v>20</v>
      </c>
      <c r="O89" s="13">
        <v>168.36</v>
      </c>
    </row>
    <row r="90" spans="1:15" ht="15" x14ac:dyDescent="0.3">
      <c r="A90" s="2">
        <v>89</v>
      </c>
      <c r="B90" s="3" t="s">
        <v>202</v>
      </c>
      <c r="C90" s="4" t="s">
        <v>203</v>
      </c>
      <c r="D90" s="4" t="s">
        <v>17</v>
      </c>
      <c r="E90" s="3" t="s">
        <v>183</v>
      </c>
      <c r="F90" s="5">
        <v>39.222490000000001</v>
      </c>
      <c r="G90" s="5">
        <v>63.36459</v>
      </c>
      <c r="H90" s="5">
        <v>-94.727850000000004</v>
      </c>
      <c r="I90" s="5">
        <v>60.449179999999998</v>
      </c>
      <c r="J90" s="5">
        <v>9.1212000000000001E-2</v>
      </c>
      <c r="K90" s="6">
        <v>298</v>
      </c>
      <c r="L90" s="6">
        <v>900</v>
      </c>
      <c r="M90" s="4" t="s">
        <v>19</v>
      </c>
      <c r="N90" s="4" t="s">
        <v>20</v>
      </c>
      <c r="O90" s="7">
        <v>119.002</v>
      </c>
    </row>
    <row r="91" spans="1:15" ht="15" x14ac:dyDescent="0.3">
      <c r="A91" s="8">
        <v>90</v>
      </c>
      <c r="B91" s="9" t="s">
        <v>204</v>
      </c>
      <c r="C91" s="10" t="s">
        <v>205</v>
      </c>
      <c r="D91" s="10" t="s">
        <v>17</v>
      </c>
      <c r="E91" s="9" t="s">
        <v>183</v>
      </c>
      <c r="F91" s="11">
        <v>73.623760000000004</v>
      </c>
      <c r="G91" s="11">
        <v>-85.436440000000005</v>
      </c>
      <c r="H91" s="11">
        <v>130.09729999999999</v>
      </c>
      <c r="I91" s="11">
        <v>-48.866190000000003</v>
      </c>
      <c r="J91" s="11">
        <v>-0.50241499999999994</v>
      </c>
      <c r="K91" s="12">
        <v>298</v>
      </c>
      <c r="L91" s="12">
        <v>954</v>
      </c>
      <c r="M91" s="10" t="s">
        <v>19</v>
      </c>
      <c r="N91" s="10" t="s">
        <v>20</v>
      </c>
      <c r="O91" s="13">
        <v>165.99799999999999</v>
      </c>
    </row>
    <row r="92" spans="1:15" ht="15" x14ac:dyDescent="0.3">
      <c r="A92" s="2">
        <v>91</v>
      </c>
      <c r="B92" s="3" t="s">
        <v>206</v>
      </c>
      <c r="C92" s="4" t="s">
        <v>207</v>
      </c>
      <c r="D92" s="4" t="s">
        <v>17</v>
      </c>
      <c r="E92" s="3" t="s">
        <v>183</v>
      </c>
      <c r="F92" s="5">
        <v>50.181220000000003</v>
      </c>
      <c r="G92" s="5">
        <v>10.12185</v>
      </c>
      <c r="H92" s="5">
        <v>0.96276399999999995</v>
      </c>
      <c r="I92" s="5">
        <v>-2.8406000000000001E-2</v>
      </c>
      <c r="J92" s="5">
        <v>-0.165604</v>
      </c>
      <c r="K92" s="6">
        <v>298</v>
      </c>
      <c r="L92" s="6">
        <v>1020</v>
      </c>
      <c r="M92" s="4" t="s">
        <v>19</v>
      </c>
      <c r="N92" s="4" t="s">
        <v>20</v>
      </c>
      <c r="O92" s="7">
        <v>102.89400000000001</v>
      </c>
    </row>
    <row r="93" spans="1:15" ht="15" x14ac:dyDescent="0.3">
      <c r="A93" s="8">
        <v>92</v>
      </c>
      <c r="B93" s="9" t="s">
        <v>208</v>
      </c>
      <c r="C93" s="10" t="s">
        <v>209</v>
      </c>
      <c r="D93" s="10" t="s">
        <v>17</v>
      </c>
      <c r="E93" s="9" t="s">
        <v>183</v>
      </c>
      <c r="F93" s="11">
        <v>50.199629999999999</v>
      </c>
      <c r="G93" s="11">
        <v>10.227869999999999</v>
      </c>
      <c r="H93" s="11">
        <v>0.56454300000000002</v>
      </c>
      <c r="I93" s="11">
        <v>-0.22101799999999999</v>
      </c>
      <c r="J93" s="11">
        <v>-9.4625000000000001E-2</v>
      </c>
      <c r="K93" s="12">
        <v>298</v>
      </c>
      <c r="L93" s="12">
        <v>933</v>
      </c>
      <c r="M93" s="10" t="s">
        <v>19</v>
      </c>
      <c r="N93" s="10" t="s">
        <v>20</v>
      </c>
      <c r="O93" s="13">
        <v>149.88999999999999</v>
      </c>
    </row>
    <row r="94" spans="1:15" ht="15" x14ac:dyDescent="0.3">
      <c r="A94" s="2">
        <v>93</v>
      </c>
      <c r="B94" s="3" t="s">
        <v>210</v>
      </c>
      <c r="C94" s="4" t="s">
        <v>211</v>
      </c>
      <c r="D94" s="4" t="s">
        <v>17</v>
      </c>
      <c r="E94" s="3" t="s">
        <v>183</v>
      </c>
      <c r="F94" s="5">
        <v>43.743720000000003</v>
      </c>
      <c r="G94" s="5">
        <v>20.370560000000001</v>
      </c>
      <c r="H94" s="5">
        <v>0.30642999999999998</v>
      </c>
      <c r="I94" s="5">
        <v>-9.4177999999999998E-2</v>
      </c>
      <c r="J94" s="5">
        <v>-0.16041900000000001</v>
      </c>
      <c r="K94" s="6">
        <v>298</v>
      </c>
      <c r="L94" s="6">
        <v>883</v>
      </c>
      <c r="M94" s="4" t="s">
        <v>19</v>
      </c>
      <c r="N94" s="4" t="s">
        <v>20</v>
      </c>
      <c r="O94" s="7">
        <v>42.39</v>
      </c>
    </row>
    <row r="95" spans="1:15" ht="15" x14ac:dyDescent="0.3">
      <c r="A95" s="8">
        <v>94</v>
      </c>
      <c r="B95" s="9" t="s">
        <v>212</v>
      </c>
      <c r="C95" s="10" t="s">
        <v>213</v>
      </c>
      <c r="D95" s="10" t="s">
        <v>17</v>
      </c>
      <c r="E95" s="9" t="s">
        <v>183</v>
      </c>
      <c r="F95" s="11">
        <v>71.381550000000004</v>
      </c>
      <c r="G95" s="11">
        <v>-81.890079999999998</v>
      </c>
      <c r="H95" s="11">
        <v>118.8879</v>
      </c>
      <c r="I95" s="11">
        <v>-32.379179999999998</v>
      </c>
      <c r="J95" s="11">
        <v>-0.68906299999999998</v>
      </c>
      <c r="K95" s="12">
        <v>298</v>
      </c>
      <c r="L95" s="12">
        <v>823</v>
      </c>
      <c r="M95" s="10" t="s">
        <v>19</v>
      </c>
      <c r="N95" s="10" t="s">
        <v>20</v>
      </c>
      <c r="O95" s="13">
        <v>86.843999999999994</v>
      </c>
    </row>
    <row r="96" spans="1:15" ht="15" x14ac:dyDescent="0.3">
      <c r="A96" s="2">
        <v>95</v>
      </c>
      <c r="B96" s="3" t="s">
        <v>214</v>
      </c>
      <c r="C96" s="4" t="s">
        <v>215</v>
      </c>
      <c r="D96" s="4" t="s">
        <v>17</v>
      </c>
      <c r="E96" s="3" t="s">
        <v>183</v>
      </c>
      <c r="F96" s="5">
        <v>68.816760000000002</v>
      </c>
      <c r="G96" s="5">
        <v>28.22531</v>
      </c>
      <c r="H96" s="5">
        <v>0.59341299999999997</v>
      </c>
      <c r="I96" s="5">
        <v>-0.16759499999999999</v>
      </c>
      <c r="J96" s="5">
        <v>-1.6514999999999998E-2</v>
      </c>
      <c r="K96" s="6">
        <v>298</v>
      </c>
      <c r="L96" s="6">
        <v>774</v>
      </c>
      <c r="M96" s="4" t="s">
        <v>19</v>
      </c>
      <c r="N96" s="4" t="s">
        <v>20</v>
      </c>
      <c r="O96" s="7">
        <v>278.10000000000002</v>
      </c>
    </row>
    <row r="97" spans="1:15" ht="15" x14ac:dyDescent="0.3">
      <c r="A97" s="8">
        <v>96</v>
      </c>
      <c r="B97" s="9" t="s">
        <v>216</v>
      </c>
      <c r="C97" s="10" t="s">
        <v>217</v>
      </c>
      <c r="D97" s="10" t="s">
        <v>17</v>
      </c>
      <c r="E97" s="9" t="s">
        <v>183</v>
      </c>
      <c r="F97" s="11">
        <v>71.722130000000007</v>
      </c>
      <c r="G97" s="11">
        <v>8.0097249999999995</v>
      </c>
      <c r="H97" s="11">
        <v>24.227329999999998</v>
      </c>
      <c r="I97" s="11">
        <v>-7.9820260000000003</v>
      </c>
      <c r="J97" s="11">
        <v>-0.33635399999999999</v>
      </c>
      <c r="K97" s="12">
        <v>298</v>
      </c>
      <c r="L97" s="12">
        <v>1000</v>
      </c>
      <c r="M97" s="10" t="s">
        <v>19</v>
      </c>
      <c r="N97" s="10" t="s">
        <v>20</v>
      </c>
      <c r="O97" s="13">
        <v>245.196</v>
      </c>
    </row>
    <row r="98" spans="1:15" ht="15" x14ac:dyDescent="0.3">
      <c r="A98" s="2">
        <v>97</v>
      </c>
      <c r="B98" s="3" t="s">
        <v>218</v>
      </c>
      <c r="C98" s="4" t="s">
        <v>219</v>
      </c>
      <c r="D98" s="4" t="s">
        <v>17</v>
      </c>
      <c r="E98" s="3" t="s">
        <v>220</v>
      </c>
      <c r="F98" s="5">
        <v>44.936999999999998</v>
      </c>
      <c r="G98" s="5">
        <v>149.70849999999999</v>
      </c>
      <c r="H98" s="5">
        <v>-74.182739999999995</v>
      </c>
      <c r="I98" s="5">
        <v>11.976699999999999</v>
      </c>
      <c r="J98" s="5">
        <v>-0.62926099999999996</v>
      </c>
      <c r="K98" s="6">
        <v>298</v>
      </c>
      <c r="L98" s="6">
        <v>1000</v>
      </c>
      <c r="M98" s="4" t="s">
        <v>19</v>
      </c>
      <c r="N98" s="4" t="s">
        <v>20</v>
      </c>
      <c r="O98" s="7">
        <v>84.313000000000002</v>
      </c>
    </row>
    <row r="99" spans="1:15" ht="15" x14ac:dyDescent="0.3">
      <c r="A99" s="8">
        <v>98</v>
      </c>
      <c r="B99" s="9" t="s">
        <v>221</v>
      </c>
      <c r="C99" s="10" t="s">
        <v>222</v>
      </c>
      <c r="D99" s="10" t="s">
        <v>17</v>
      </c>
      <c r="E99" s="9" t="s">
        <v>223</v>
      </c>
      <c r="F99" s="11">
        <v>75.832070000000002</v>
      </c>
      <c r="G99" s="11">
        <v>111.72199999999999</v>
      </c>
      <c r="H99" s="11">
        <v>-39.688420000000001</v>
      </c>
      <c r="I99" s="11">
        <v>5.1298349999999999</v>
      </c>
      <c r="J99" s="11">
        <v>-0.83257000000000003</v>
      </c>
      <c r="K99" s="12">
        <v>298</v>
      </c>
      <c r="L99" s="12">
        <v>1400</v>
      </c>
      <c r="M99" s="10" t="s">
        <v>19</v>
      </c>
      <c r="N99" s="10" t="s">
        <v>20</v>
      </c>
      <c r="O99" s="13">
        <v>120.361</v>
      </c>
    </row>
    <row r="100" spans="1:15" ht="15" x14ac:dyDescent="0.3">
      <c r="A100" s="2">
        <v>99</v>
      </c>
      <c r="B100" s="3" t="s">
        <v>224</v>
      </c>
      <c r="C100" s="4" t="s">
        <v>225</v>
      </c>
      <c r="D100" s="4" t="s">
        <v>17</v>
      </c>
      <c r="E100" s="3" t="s">
        <v>223</v>
      </c>
      <c r="F100" s="5">
        <v>96.97466</v>
      </c>
      <c r="G100" s="5">
        <v>149.5454</v>
      </c>
      <c r="H100" s="5">
        <v>-44.511479999999999</v>
      </c>
      <c r="I100" s="5">
        <v>14.243130000000001</v>
      </c>
      <c r="J100" s="5">
        <v>-0.87490000000000001</v>
      </c>
      <c r="K100" s="6">
        <v>298</v>
      </c>
      <c r="L100" s="6">
        <v>1000</v>
      </c>
      <c r="M100" s="4" t="s">
        <v>19</v>
      </c>
      <c r="N100" s="4" t="s">
        <v>20</v>
      </c>
      <c r="O100" s="7">
        <v>142.036</v>
      </c>
    </row>
    <row r="101" spans="1:15" ht="15" x14ac:dyDescent="0.3">
      <c r="A101" s="8">
        <v>100</v>
      </c>
      <c r="B101" s="9" t="s">
        <v>226</v>
      </c>
      <c r="C101" s="10" t="s">
        <v>227</v>
      </c>
      <c r="D101" s="10" t="s">
        <v>17</v>
      </c>
      <c r="E101" s="9" t="s">
        <v>223</v>
      </c>
      <c r="F101" s="11">
        <v>139.505</v>
      </c>
      <c r="G101" s="11">
        <v>-1.199884</v>
      </c>
      <c r="H101" s="11">
        <v>136.80799999999999</v>
      </c>
      <c r="I101" s="11">
        <v>-47.143219999999999</v>
      </c>
      <c r="J101" s="11">
        <v>-1.663999</v>
      </c>
      <c r="K101" s="12">
        <v>298</v>
      </c>
      <c r="L101" s="12">
        <v>1200</v>
      </c>
      <c r="M101" s="10" t="s">
        <v>19</v>
      </c>
      <c r="N101" s="10" t="s">
        <v>20</v>
      </c>
      <c r="O101" s="13">
        <v>174.25200000000001</v>
      </c>
    </row>
    <row r="102" spans="1:15" ht="15" x14ac:dyDescent="0.3">
      <c r="A102" s="2">
        <v>101</v>
      </c>
      <c r="B102" s="3" t="s">
        <v>228</v>
      </c>
      <c r="C102" s="4" t="s">
        <v>229</v>
      </c>
      <c r="D102" s="4" t="s">
        <v>17</v>
      </c>
      <c r="E102" s="3" t="s">
        <v>78</v>
      </c>
      <c r="F102" s="5">
        <v>114.18219999999999</v>
      </c>
      <c r="G102" s="5">
        <v>76.972210000000004</v>
      </c>
      <c r="H102" s="5">
        <v>-23.521280000000001</v>
      </c>
      <c r="I102" s="5">
        <v>3.7413409999999998</v>
      </c>
      <c r="J102" s="5">
        <v>-2.0766420000000001</v>
      </c>
      <c r="K102" s="6">
        <v>298</v>
      </c>
      <c r="L102" s="6">
        <v>1362</v>
      </c>
      <c r="M102" s="4" t="s">
        <v>19</v>
      </c>
      <c r="N102" s="4" t="s">
        <v>20</v>
      </c>
      <c r="O102" s="7">
        <v>122.062</v>
      </c>
    </row>
    <row r="103" spans="1:15" ht="15" x14ac:dyDescent="0.3">
      <c r="A103" s="8">
        <v>102</v>
      </c>
      <c r="B103" s="9" t="s">
        <v>230</v>
      </c>
      <c r="C103" s="10" t="s">
        <v>231</v>
      </c>
      <c r="D103" s="10" t="s">
        <v>17</v>
      </c>
      <c r="E103" s="9" t="s">
        <v>78</v>
      </c>
      <c r="F103" s="11">
        <v>109.0543</v>
      </c>
      <c r="G103" s="11">
        <v>124.24720000000001</v>
      </c>
      <c r="H103" s="11">
        <v>-65.736080000000001</v>
      </c>
      <c r="I103" s="11">
        <v>13.441229999999999</v>
      </c>
      <c r="J103" s="11">
        <v>-1.9977309999999999</v>
      </c>
      <c r="K103" s="12">
        <v>298</v>
      </c>
      <c r="L103" s="12">
        <v>1249</v>
      </c>
      <c r="M103" s="10" t="s">
        <v>19</v>
      </c>
      <c r="N103" s="10" t="s">
        <v>20</v>
      </c>
      <c r="O103" s="13">
        <v>154.27799999999999</v>
      </c>
    </row>
    <row r="104" spans="1:15" ht="15" x14ac:dyDescent="0.3">
      <c r="A104" s="2">
        <v>103</v>
      </c>
      <c r="B104" s="3" t="s">
        <v>232</v>
      </c>
      <c r="C104" s="4" t="s">
        <v>233</v>
      </c>
      <c r="D104" s="4" t="s">
        <v>17</v>
      </c>
      <c r="E104" s="3" t="s">
        <v>78</v>
      </c>
      <c r="F104" s="5">
        <v>119.8377</v>
      </c>
      <c r="G104" s="5">
        <v>41.993969999999997</v>
      </c>
      <c r="H104" s="5">
        <v>-7.9549560000000001</v>
      </c>
      <c r="I104" s="5">
        <v>0.87803799999999999</v>
      </c>
      <c r="J104" s="5">
        <v>-2.7567759999999999</v>
      </c>
      <c r="K104" s="6">
        <v>298</v>
      </c>
      <c r="L104" s="6">
        <v>1474</v>
      </c>
      <c r="M104" s="4" t="s">
        <v>19</v>
      </c>
      <c r="N104" s="4" t="s">
        <v>20</v>
      </c>
      <c r="O104" s="7">
        <v>89.962000000000003</v>
      </c>
    </row>
    <row r="105" spans="1:15" ht="15" x14ac:dyDescent="0.3">
      <c r="A105" s="8">
        <v>104</v>
      </c>
      <c r="B105" s="9" t="s">
        <v>234</v>
      </c>
      <c r="C105" s="10" t="s">
        <v>235</v>
      </c>
      <c r="D105" s="10" t="s">
        <v>17</v>
      </c>
      <c r="E105" s="9" t="s">
        <v>236</v>
      </c>
      <c r="F105" s="11">
        <v>31.322340000000001</v>
      </c>
      <c r="G105" s="11">
        <v>-20.235309999999998</v>
      </c>
      <c r="H105" s="11">
        <v>57.866439999999997</v>
      </c>
      <c r="I105" s="11">
        <v>-36.506239999999998</v>
      </c>
      <c r="J105" s="11">
        <v>-7.3740000000000003E-3</v>
      </c>
      <c r="K105" s="12">
        <v>100</v>
      </c>
      <c r="L105" s="12">
        <v>700</v>
      </c>
      <c r="M105" s="10" t="s">
        <v>19</v>
      </c>
      <c r="N105" s="10" t="s">
        <v>20</v>
      </c>
      <c r="O105" s="13">
        <v>31.998000000000001</v>
      </c>
    </row>
    <row r="106" spans="1:15" ht="15" x14ac:dyDescent="0.3">
      <c r="A106" s="2">
        <v>105</v>
      </c>
      <c r="B106" s="3" t="s">
        <v>237</v>
      </c>
      <c r="C106" s="4" t="s">
        <v>238</v>
      </c>
      <c r="D106" s="4" t="s">
        <v>17</v>
      </c>
      <c r="E106" s="3" t="s">
        <v>236</v>
      </c>
      <c r="F106" s="5">
        <v>28.986409999999999</v>
      </c>
      <c r="G106" s="5">
        <v>1.8539779999999999</v>
      </c>
      <c r="H106" s="5">
        <v>-9.6474589999999996</v>
      </c>
      <c r="I106" s="5">
        <v>16.635370000000002</v>
      </c>
      <c r="J106" s="5">
        <v>1.17E-4</v>
      </c>
      <c r="K106" s="6">
        <v>100</v>
      </c>
      <c r="L106" s="6">
        <v>500</v>
      </c>
      <c r="M106" s="4" t="s">
        <v>19</v>
      </c>
      <c r="N106" s="4" t="s">
        <v>20</v>
      </c>
      <c r="O106" s="7">
        <v>28.013999999999999</v>
      </c>
    </row>
    <row r="107" spans="1:15" ht="15" x14ac:dyDescent="0.3">
      <c r="A107" s="8">
        <v>106</v>
      </c>
      <c r="B107" s="9" t="s">
        <v>239</v>
      </c>
      <c r="C107" s="10" t="s">
        <v>240</v>
      </c>
      <c r="D107" s="10" t="s">
        <v>17</v>
      </c>
      <c r="E107" s="9" t="s">
        <v>236</v>
      </c>
      <c r="F107" s="11">
        <v>33.066178000000001</v>
      </c>
      <c r="G107" s="11">
        <v>-11.363417</v>
      </c>
      <c r="H107" s="11">
        <v>11.432816000000001</v>
      </c>
      <c r="I107" s="11">
        <v>-2.7728739999999998</v>
      </c>
      <c r="J107" s="11">
        <v>-0.158558</v>
      </c>
      <c r="K107" s="12">
        <v>298</v>
      </c>
      <c r="L107" s="12">
        <v>1000</v>
      </c>
      <c r="M107" s="10" t="s">
        <v>19</v>
      </c>
      <c r="N107" s="10" t="s">
        <v>20</v>
      </c>
      <c r="O107" s="13">
        <v>2.016</v>
      </c>
    </row>
    <row r="108" spans="1:15" ht="15" x14ac:dyDescent="0.3">
      <c r="A108" s="2">
        <v>107</v>
      </c>
      <c r="B108" s="3" t="s">
        <v>241</v>
      </c>
      <c r="C108" s="4" t="s">
        <v>242</v>
      </c>
      <c r="D108" s="4" t="s">
        <v>17</v>
      </c>
      <c r="E108" s="3" t="s">
        <v>236</v>
      </c>
      <c r="F108" s="5">
        <v>25.567589999999999</v>
      </c>
      <c r="G108" s="5">
        <v>6.0961299999999996</v>
      </c>
      <c r="H108" s="5">
        <v>4.0546559999999996</v>
      </c>
      <c r="I108" s="5">
        <v>-2.6713010000000001</v>
      </c>
      <c r="J108" s="5">
        <v>0.131021</v>
      </c>
      <c r="K108" s="6">
        <v>298</v>
      </c>
      <c r="L108" s="6">
        <v>1300</v>
      </c>
      <c r="M108" s="4" t="s">
        <v>19</v>
      </c>
      <c r="N108" s="4" t="s">
        <v>20</v>
      </c>
      <c r="O108" s="7">
        <v>28.01</v>
      </c>
    </row>
    <row r="109" spans="1:15" ht="15" x14ac:dyDescent="0.3">
      <c r="A109" s="8">
        <v>108</v>
      </c>
      <c r="B109" s="9" t="s">
        <v>243</v>
      </c>
      <c r="C109" s="10" t="s">
        <v>244</v>
      </c>
      <c r="D109" s="10" t="s">
        <v>17</v>
      </c>
      <c r="E109" s="9" t="s">
        <v>236</v>
      </c>
      <c r="F109" s="11">
        <v>24.997350000000001</v>
      </c>
      <c r="G109" s="11">
        <v>55.186959999999999</v>
      </c>
      <c r="H109" s="11">
        <v>-33.691369999999999</v>
      </c>
      <c r="I109" s="11">
        <v>7.9483870000000003</v>
      </c>
      <c r="J109" s="11">
        <v>-0.13663800000000001</v>
      </c>
      <c r="K109" s="12">
        <v>298</v>
      </c>
      <c r="L109" s="12">
        <v>1200</v>
      </c>
      <c r="M109" s="10" t="s">
        <v>19</v>
      </c>
      <c r="N109" s="10" t="s">
        <v>20</v>
      </c>
      <c r="O109" s="13">
        <v>44.009</v>
      </c>
    </row>
    <row r="110" spans="1:15" ht="15" x14ac:dyDescent="0.3">
      <c r="A110" s="2">
        <v>109</v>
      </c>
      <c r="B110" s="3" t="s">
        <v>245</v>
      </c>
      <c r="C110" s="4" t="s">
        <v>246</v>
      </c>
      <c r="D110" s="4" t="s">
        <v>17</v>
      </c>
      <c r="E110" s="3" t="s">
        <v>236</v>
      </c>
      <c r="F110" s="5">
        <v>-203.60599999999999</v>
      </c>
      <c r="G110" s="5">
        <v>1523.29</v>
      </c>
      <c r="H110" s="5">
        <v>-3196.413</v>
      </c>
      <c r="I110" s="5">
        <v>2474.4549999999999</v>
      </c>
      <c r="J110" s="5">
        <v>3.8553259999999998</v>
      </c>
      <c r="K110" s="6">
        <v>298</v>
      </c>
      <c r="L110" s="6">
        <v>500</v>
      </c>
      <c r="M110" s="4" t="s">
        <v>19</v>
      </c>
      <c r="N110" s="4" t="s">
        <v>20</v>
      </c>
      <c r="O110" s="7">
        <v>18.015000000000001</v>
      </c>
    </row>
    <row r="111" spans="1:15" ht="15" x14ac:dyDescent="0.3">
      <c r="A111" s="8">
        <v>110</v>
      </c>
      <c r="B111" s="9" t="s">
        <v>247</v>
      </c>
      <c r="C111" s="10" t="s">
        <v>248</v>
      </c>
      <c r="D111" s="10" t="s">
        <v>17</v>
      </c>
      <c r="E111" s="9" t="s">
        <v>236</v>
      </c>
      <c r="F111" s="11">
        <v>19.995629999999998</v>
      </c>
      <c r="G111" s="11">
        <v>49.771189999999997</v>
      </c>
      <c r="H111" s="11">
        <v>-15.37599</v>
      </c>
      <c r="I111" s="11">
        <v>1.921168</v>
      </c>
      <c r="J111" s="11">
        <v>0.18917400000000001</v>
      </c>
      <c r="K111" s="12">
        <v>298</v>
      </c>
      <c r="L111" s="12">
        <v>1400</v>
      </c>
      <c r="M111" s="10" t="s">
        <v>19</v>
      </c>
      <c r="N111" s="10" t="s">
        <v>20</v>
      </c>
      <c r="O111" s="13">
        <v>17.030999999999999</v>
      </c>
    </row>
    <row r="112" spans="1:15" ht="15" x14ac:dyDescent="0.3">
      <c r="A112" s="2">
        <v>111</v>
      </c>
      <c r="B112" s="3" t="s">
        <v>249</v>
      </c>
      <c r="C112" s="4" t="s">
        <v>250</v>
      </c>
      <c r="D112" s="4" t="s">
        <v>17</v>
      </c>
      <c r="E112" s="3" t="s">
        <v>236</v>
      </c>
      <c r="F112" s="5">
        <v>-0.70302900000000002</v>
      </c>
      <c r="G112" s="5">
        <v>108.4773</v>
      </c>
      <c r="H112" s="5">
        <v>-42.521569999999997</v>
      </c>
      <c r="I112" s="5">
        <v>5.8627880000000001</v>
      </c>
      <c r="J112" s="5">
        <v>0.67856499999999997</v>
      </c>
      <c r="K112" s="6">
        <v>298</v>
      </c>
      <c r="L112" s="6">
        <v>1300</v>
      </c>
      <c r="M112" s="4" t="s">
        <v>19</v>
      </c>
      <c r="N112" s="4" t="s">
        <v>20</v>
      </c>
      <c r="O112" s="7">
        <v>16.042999999999999</v>
      </c>
    </row>
    <row r="113" spans="1:15" ht="15" x14ac:dyDescent="0.3">
      <c r="A113" s="8">
        <v>112</v>
      </c>
      <c r="B113" s="9" t="s">
        <v>251</v>
      </c>
      <c r="C113" s="10" t="s">
        <v>252</v>
      </c>
      <c r="D113" s="10" t="s">
        <v>17</v>
      </c>
      <c r="E113" s="9" t="s">
        <v>236</v>
      </c>
      <c r="F113" s="11">
        <v>20.786000000000001</v>
      </c>
      <c r="G113" s="11">
        <v>2.8259110000000001E-7</v>
      </c>
      <c r="H113" s="11">
        <v>-1.464191E-7</v>
      </c>
      <c r="I113" s="11">
        <v>1.092131E-8</v>
      </c>
      <c r="J113" s="11">
        <v>-3.661371E-8</v>
      </c>
      <c r="K113" s="12">
        <v>298</v>
      </c>
      <c r="L113" s="12">
        <v>6000</v>
      </c>
      <c r="M113" s="10" t="s">
        <v>19</v>
      </c>
      <c r="N113" s="10" t="s">
        <v>20</v>
      </c>
      <c r="O113" s="13">
        <v>39.948</v>
      </c>
    </row>
    <row r="114" spans="1:15" ht="15" x14ac:dyDescent="0.3">
      <c r="A114" s="2">
        <v>113</v>
      </c>
      <c r="B114" s="3" t="s">
        <v>253</v>
      </c>
      <c r="C114" s="4" t="s">
        <v>254</v>
      </c>
      <c r="D114" s="4" t="s">
        <v>17</v>
      </c>
      <c r="E114" s="3" t="s">
        <v>236</v>
      </c>
      <c r="F114" s="5">
        <v>20.78603</v>
      </c>
      <c r="G114" s="5">
        <v>4.8506380000000005E-10</v>
      </c>
      <c r="H114" s="5">
        <v>-1.582916E-10</v>
      </c>
      <c r="I114" s="5">
        <v>1.525102E-11</v>
      </c>
      <c r="J114" s="5">
        <v>3.1963469999999999E-11</v>
      </c>
      <c r="K114" s="6">
        <v>298</v>
      </c>
      <c r="L114" s="6">
        <v>6000</v>
      </c>
      <c r="M114" s="4" t="s">
        <v>19</v>
      </c>
      <c r="N114" s="4" t="s">
        <v>20</v>
      </c>
      <c r="O114" s="7">
        <v>4.0026000000000002</v>
      </c>
    </row>
    <row r="115" spans="1:15" ht="15" x14ac:dyDescent="0.3">
      <c r="A115" s="8">
        <v>114</v>
      </c>
      <c r="B115" s="9" t="s">
        <v>255</v>
      </c>
      <c r="C115" s="10" t="s">
        <v>256</v>
      </c>
      <c r="D115" s="10" t="s">
        <v>17</v>
      </c>
      <c r="E115" s="9" t="s">
        <v>236</v>
      </c>
      <c r="F115" s="11">
        <v>33.050600000000003</v>
      </c>
      <c r="G115" s="11">
        <v>12.2294</v>
      </c>
      <c r="H115" s="11">
        <v>-12.065099999999999</v>
      </c>
      <c r="I115" s="11">
        <v>4.3853299999999997</v>
      </c>
      <c r="J115" s="11">
        <v>-0.159494</v>
      </c>
      <c r="K115" s="12">
        <v>298</v>
      </c>
      <c r="L115" s="12">
        <v>1000</v>
      </c>
      <c r="M115" s="10" t="s">
        <v>19</v>
      </c>
      <c r="N115" s="10" t="s">
        <v>20</v>
      </c>
      <c r="O115" s="13">
        <v>70.900000000000006</v>
      </c>
    </row>
    <row r="116" spans="1:15" ht="15" x14ac:dyDescent="0.3">
      <c r="A116" s="2">
        <v>115</v>
      </c>
      <c r="B116" s="3" t="s">
        <v>257</v>
      </c>
      <c r="C116" s="4" t="s">
        <v>258</v>
      </c>
      <c r="D116" s="4" t="s">
        <v>17</v>
      </c>
      <c r="E116" s="3" t="s">
        <v>236</v>
      </c>
      <c r="F116" s="5">
        <v>31.4451</v>
      </c>
      <c r="G116" s="5">
        <v>8.4138310000000001</v>
      </c>
      <c r="H116" s="5">
        <v>-2.7788499999999998</v>
      </c>
      <c r="I116" s="5">
        <v>0.21810399999999999</v>
      </c>
      <c r="J116" s="5">
        <v>-0.211175</v>
      </c>
      <c r="K116" s="6">
        <v>298</v>
      </c>
      <c r="L116" s="6">
        <v>6000</v>
      </c>
      <c r="M116" s="4" t="s">
        <v>19</v>
      </c>
      <c r="N116" s="4" t="s">
        <v>20</v>
      </c>
      <c r="O116" s="7">
        <v>37.996000000000002</v>
      </c>
    </row>
    <row r="117" spans="1:15" ht="15" x14ac:dyDescent="0.3">
      <c r="A117" s="8">
        <v>116</v>
      </c>
      <c r="B117" s="9" t="s">
        <v>259</v>
      </c>
      <c r="C117" s="10" t="s">
        <v>260</v>
      </c>
      <c r="D117" s="10" t="s">
        <v>17</v>
      </c>
      <c r="E117" s="9" t="s">
        <v>236</v>
      </c>
      <c r="F117" s="11">
        <v>21.430489999999999</v>
      </c>
      <c r="G117" s="11">
        <v>74.350939999999994</v>
      </c>
      <c r="H117" s="11">
        <v>-57.75217</v>
      </c>
      <c r="I117" s="11">
        <v>16.355340000000002</v>
      </c>
      <c r="J117" s="11">
        <v>8.6731000000000003E-2</v>
      </c>
      <c r="K117" s="12">
        <v>298</v>
      </c>
      <c r="L117" s="12">
        <v>1200</v>
      </c>
      <c r="M117" s="10" t="s">
        <v>19</v>
      </c>
      <c r="N117" s="10" t="s">
        <v>20</v>
      </c>
      <c r="O117" s="13">
        <v>64.066000000000003</v>
      </c>
    </row>
    <row r="118" spans="1:15" ht="15" x14ac:dyDescent="0.3">
      <c r="A118" s="2">
        <v>117</v>
      </c>
      <c r="B118" s="3" t="s">
        <v>261</v>
      </c>
      <c r="C118" s="4" t="s">
        <v>262</v>
      </c>
      <c r="D118" s="4" t="s">
        <v>17</v>
      </c>
      <c r="E118" s="3" t="s">
        <v>236</v>
      </c>
      <c r="F118" s="5">
        <v>23.834910000000001</v>
      </c>
      <c r="G118" s="5">
        <v>12.58878</v>
      </c>
      <c r="H118" s="5">
        <v>-1.139011</v>
      </c>
      <c r="I118" s="5">
        <v>-1.4974590000000001</v>
      </c>
      <c r="J118" s="5">
        <v>0.214194</v>
      </c>
      <c r="K118" s="6">
        <v>298</v>
      </c>
      <c r="L118" s="6">
        <v>1200</v>
      </c>
      <c r="M118" s="4" t="s">
        <v>19</v>
      </c>
      <c r="N118" s="4" t="s">
        <v>20</v>
      </c>
      <c r="O118" s="7">
        <v>30.006</v>
      </c>
    </row>
    <row r="119" spans="1:15" ht="15" x14ac:dyDescent="0.3">
      <c r="A119" s="8">
        <v>118</v>
      </c>
      <c r="B119" s="9" t="s">
        <v>263</v>
      </c>
      <c r="C119" s="10" t="s">
        <v>264</v>
      </c>
      <c r="D119" s="10" t="s">
        <v>17</v>
      </c>
      <c r="E119" s="9" t="s">
        <v>236</v>
      </c>
      <c r="F119" s="11">
        <v>16.10857</v>
      </c>
      <c r="G119" s="11">
        <v>75.895250000000004</v>
      </c>
      <c r="H119" s="11">
        <v>-54.3874</v>
      </c>
      <c r="I119" s="11">
        <v>14.30777</v>
      </c>
      <c r="J119" s="11">
        <v>0.239423</v>
      </c>
      <c r="K119" s="12">
        <v>298</v>
      </c>
      <c r="L119" s="12">
        <v>1200</v>
      </c>
      <c r="M119" s="10" t="s">
        <v>19</v>
      </c>
      <c r="N119" s="10" t="s">
        <v>20</v>
      </c>
      <c r="O119" s="13">
        <v>46.005499999999998</v>
      </c>
    </row>
    <row r="120" spans="1:15" ht="15" x14ac:dyDescent="0.3">
      <c r="A120" s="2">
        <v>119</v>
      </c>
      <c r="B120" s="3" t="s">
        <v>265</v>
      </c>
      <c r="C120" s="4" t="s">
        <v>266</v>
      </c>
      <c r="D120" s="4" t="s">
        <v>17</v>
      </c>
      <c r="E120" s="3" t="s">
        <v>71</v>
      </c>
      <c r="F120" s="5">
        <v>68.697100000000006</v>
      </c>
      <c r="G120" s="5">
        <v>5.467149</v>
      </c>
      <c r="H120" s="5">
        <v>23.18308</v>
      </c>
      <c r="I120" s="5">
        <v>-9.4956309999999995</v>
      </c>
      <c r="J120" s="5">
        <v>-1.6024400000000001</v>
      </c>
      <c r="K120" s="6">
        <v>298</v>
      </c>
      <c r="L120" s="6">
        <v>1600</v>
      </c>
      <c r="M120" s="4" t="s">
        <v>19</v>
      </c>
      <c r="N120" s="4" t="s">
        <v>20</v>
      </c>
      <c r="O120" s="7">
        <v>29.879000000000001</v>
      </c>
    </row>
    <row r="121" spans="1:15" ht="15" x14ac:dyDescent="0.3">
      <c r="A121" s="8">
        <v>120</v>
      </c>
      <c r="B121" s="9" t="s">
        <v>267</v>
      </c>
      <c r="C121" s="10" t="s">
        <v>268</v>
      </c>
      <c r="D121" s="10" t="s">
        <v>17</v>
      </c>
      <c r="E121" s="9" t="s">
        <v>78</v>
      </c>
      <c r="F121" s="11">
        <v>25.575399999999998</v>
      </c>
      <c r="G121" s="11">
        <v>177.71</v>
      </c>
      <c r="H121" s="11">
        <v>-166.33500000000001</v>
      </c>
      <c r="I121" s="11">
        <v>57.611600000000003</v>
      </c>
      <c r="J121" s="11">
        <v>0.33814899999999998</v>
      </c>
      <c r="K121" s="12">
        <v>298</v>
      </c>
      <c r="L121" s="12">
        <v>1023</v>
      </c>
      <c r="M121" s="10" t="s">
        <v>19</v>
      </c>
      <c r="N121" s="10" t="s">
        <v>20</v>
      </c>
      <c r="O121" s="13">
        <v>61.978999999999999</v>
      </c>
    </row>
    <row r="122" spans="1:15" ht="15" x14ac:dyDescent="0.3">
      <c r="A122" s="2">
        <v>121</v>
      </c>
      <c r="B122" s="3" t="s">
        <v>269</v>
      </c>
      <c r="C122" s="4" t="s">
        <v>270</v>
      </c>
      <c r="D122" s="4" t="s">
        <v>17</v>
      </c>
      <c r="E122" s="3" t="s">
        <v>78</v>
      </c>
      <c r="F122" s="5">
        <v>245.0104</v>
      </c>
      <c r="G122" s="5">
        <v>-567.04920000000004</v>
      </c>
      <c r="H122" s="5">
        <v>778.72190000000001</v>
      </c>
      <c r="I122" s="5">
        <v>-346.26409999999998</v>
      </c>
      <c r="J122" s="5">
        <v>-4.6533610000000003</v>
      </c>
      <c r="K122" s="6">
        <v>298</v>
      </c>
      <c r="L122" s="6">
        <v>700</v>
      </c>
      <c r="M122" s="4" t="s">
        <v>19</v>
      </c>
      <c r="N122" s="4" t="s">
        <v>20</v>
      </c>
      <c r="O122" s="7">
        <v>94.194999999999993</v>
      </c>
    </row>
    <row r="123" spans="1:15" ht="15" x14ac:dyDescent="0.3">
      <c r="A123" s="8">
        <v>122</v>
      </c>
      <c r="B123" s="9" t="s">
        <v>271</v>
      </c>
      <c r="C123" s="10" t="s">
        <v>272</v>
      </c>
      <c r="D123" s="10" t="s">
        <v>17</v>
      </c>
      <c r="E123" s="9" t="s">
        <v>273</v>
      </c>
      <c r="F123" s="11">
        <v>130.8253</v>
      </c>
      <c r="G123" s="11">
        <v>-82.692160000000001</v>
      </c>
      <c r="H123" s="11">
        <v>122.76900000000001</v>
      </c>
      <c r="I123" s="11">
        <v>-50.392099999999999</v>
      </c>
      <c r="J123" s="11">
        <v>-2.5131459999999999</v>
      </c>
      <c r="K123" s="12">
        <v>298</v>
      </c>
      <c r="L123" s="12">
        <v>1000</v>
      </c>
      <c r="M123" s="10" t="s">
        <v>19</v>
      </c>
      <c r="N123" s="10" t="s">
        <v>20</v>
      </c>
      <c r="O123" s="13">
        <v>74.093000000000004</v>
      </c>
    </row>
    <row r="124" spans="1:15" ht="15" x14ac:dyDescent="0.3">
      <c r="A124" s="2">
        <v>123</v>
      </c>
      <c r="B124" s="3" t="s">
        <v>274</v>
      </c>
      <c r="C124" s="4" t="s">
        <v>275</v>
      </c>
      <c r="D124" s="4" t="s">
        <v>17</v>
      </c>
      <c r="E124" s="3" t="s">
        <v>273</v>
      </c>
      <c r="F124" s="5">
        <v>84.903400000000005</v>
      </c>
      <c r="G124" s="5">
        <v>74.440049999999999</v>
      </c>
      <c r="H124" s="5">
        <v>-68.928049999999999</v>
      </c>
      <c r="I124" s="5">
        <v>26.63242</v>
      </c>
      <c r="J124" s="5">
        <v>-2.1749070000000001</v>
      </c>
      <c r="K124" s="6">
        <v>298</v>
      </c>
      <c r="L124" s="6">
        <v>1000</v>
      </c>
      <c r="M124" s="4" t="s">
        <v>19</v>
      </c>
      <c r="N124" s="4" t="s">
        <v>20</v>
      </c>
      <c r="O124" s="7">
        <v>58.319699999999997</v>
      </c>
    </row>
    <row r="125" spans="1:15" ht="15" x14ac:dyDescent="0.3">
      <c r="A125" s="8">
        <v>124</v>
      </c>
      <c r="B125" s="9" t="s">
        <v>276</v>
      </c>
      <c r="C125" s="10" t="s">
        <v>277</v>
      </c>
      <c r="D125" s="10" t="s">
        <v>17</v>
      </c>
      <c r="E125" s="9" t="s">
        <v>273</v>
      </c>
      <c r="F125" s="11">
        <v>419.4837</v>
      </c>
      <c r="G125" s="11">
        <v>-1717.7539999999999</v>
      </c>
      <c r="H125" s="11">
        <v>2953.5729999999999</v>
      </c>
      <c r="I125" s="11">
        <v>-1597.221</v>
      </c>
      <c r="J125" s="11">
        <v>-6.0468840000000004</v>
      </c>
      <c r="K125" s="12">
        <v>298</v>
      </c>
      <c r="L125" s="12">
        <v>572</v>
      </c>
      <c r="M125" s="10" t="s">
        <v>19</v>
      </c>
      <c r="N125" s="10" t="s">
        <v>20</v>
      </c>
      <c r="O125" s="13">
        <v>39.997</v>
      </c>
    </row>
    <row r="126" spans="1:15" ht="15" x14ac:dyDescent="0.3">
      <c r="A126" s="2">
        <v>125</v>
      </c>
      <c r="B126" s="3" t="s">
        <v>278</v>
      </c>
      <c r="C126" s="4" t="s">
        <v>279</v>
      </c>
      <c r="D126" s="4" t="s">
        <v>17</v>
      </c>
      <c r="E126" s="3" t="s">
        <v>273</v>
      </c>
      <c r="F126" s="5">
        <v>80.782579999999996</v>
      </c>
      <c r="G126" s="5">
        <v>-112.2329</v>
      </c>
      <c r="H126" s="5">
        <v>301.15429999999998</v>
      </c>
      <c r="I126" s="5">
        <v>-147.9923</v>
      </c>
      <c r="J126" s="5">
        <v>-0.46886699999999998</v>
      </c>
      <c r="K126" s="6">
        <v>298</v>
      </c>
      <c r="L126" s="6">
        <v>516</v>
      </c>
      <c r="M126" s="4" t="s">
        <v>19</v>
      </c>
      <c r="N126" s="4" t="s">
        <v>20</v>
      </c>
      <c r="O126" s="7">
        <v>56.104999999999997</v>
      </c>
    </row>
    <row r="127" spans="1:15" ht="15" x14ac:dyDescent="0.3">
      <c r="A127" s="8">
        <v>126</v>
      </c>
      <c r="B127" s="9" t="s">
        <v>280</v>
      </c>
      <c r="C127" s="10" t="s">
        <v>281</v>
      </c>
      <c r="D127" s="10" t="s">
        <v>17</v>
      </c>
      <c r="E127" s="9" t="s">
        <v>273</v>
      </c>
      <c r="F127" s="11">
        <v>51.394159999999999</v>
      </c>
      <c r="G127" s="11">
        <v>32.379309999999997</v>
      </c>
      <c r="H127" s="11">
        <v>0.78924099999999997</v>
      </c>
      <c r="I127" s="11">
        <v>-0.23031099999999999</v>
      </c>
      <c r="J127" s="11">
        <v>-1.0254989999999999</v>
      </c>
      <c r="K127" s="12">
        <v>298</v>
      </c>
      <c r="L127" s="12">
        <v>744.3</v>
      </c>
      <c r="M127" s="10" t="s">
        <v>19</v>
      </c>
      <c r="N127" s="10" t="s">
        <v>20</v>
      </c>
      <c r="O127" s="13">
        <v>23.946999999999999</v>
      </c>
    </row>
    <row r="128" spans="1:15" ht="15" x14ac:dyDescent="0.3">
      <c r="A128" s="2">
        <v>127</v>
      </c>
      <c r="B128" s="3" t="s">
        <v>282</v>
      </c>
      <c r="C128" s="4" t="s">
        <v>283</v>
      </c>
      <c r="D128" s="4" t="s">
        <v>17</v>
      </c>
      <c r="E128" s="3" t="s">
        <v>132</v>
      </c>
      <c r="F128" s="5">
        <v>5.5543300000000002</v>
      </c>
      <c r="G128" s="5">
        <v>149.86500000000001</v>
      </c>
      <c r="H128" s="5">
        <v>-171.06899999999999</v>
      </c>
      <c r="I128" s="5">
        <v>67.135400000000004</v>
      </c>
      <c r="J128" s="5">
        <v>-0.26913599999999999</v>
      </c>
      <c r="K128" s="6">
        <v>298</v>
      </c>
      <c r="L128" s="6">
        <v>1000</v>
      </c>
      <c r="M128" s="4" t="s">
        <v>19</v>
      </c>
      <c r="N128" s="4" t="s">
        <v>20</v>
      </c>
      <c r="O128" s="7">
        <v>373.911</v>
      </c>
    </row>
    <row r="129" spans="1:15" ht="15" x14ac:dyDescent="0.3">
      <c r="A129" s="8">
        <v>128</v>
      </c>
      <c r="B129" s="9" t="s">
        <v>284</v>
      </c>
      <c r="C129" s="10" t="s">
        <v>285</v>
      </c>
      <c r="D129" s="10" t="s">
        <v>17</v>
      </c>
      <c r="E129" s="9" t="s">
        <v>236</v>
      </c>
      <c r="F129" s="11">
        <v>-6.38788</v>
      </c>
      <c r="G129" s="11">
        <v>184.40190000000001</v>
      </c>
      <c r="H129" s="11">
        <v>-112.9718</v>
      </c>
      <c r="I129" s="11">
        <v>28.495930000000001</v>
      </c>
      <c r="J129" s="11">
        <v>0.31553999999999999</v>
      </c>
      <c r="K129" s="12">
        <v>298</v>
      </c>
      <c r="L129" s="12">
        <v>1200</v>
      </c>
      <c r="M129" s="10" t="s">
        <v>19</v>
      </c>
      <c r="N129" s="10" t="s">
        <v>20</v>
      </c>
      <c r="O129" s="13">
        <v>28.053999999999998</v>
      </c>
    </row>
    <row r="130" spans="1:15" ht="15" x14ac:dyDescent="0.3">
      <c r="A130" s="2">
        <v>129</v>
      </c>
      <c r="B130" s="3" t="s">
        <v>286</v>
      </c>
      <c r="C130" s="4" t="s">
        <v>287</v>
      </c>
      <c r="D130" s="4" t="s">
        <v>17</v>
      </c>
      <c r="E130" s="3" t="s">
        <v>236</v>
      </c>
      <c r="F130" s="5">
        <v>40.686970000000002</v>
      </c>
      <c r="G130" s="5">
        <v>40.732790000000001</v>
      </c>
      <c r="H130" s="5">
        <v>-16.1784</v>
      </c>
      <c r="I130" s="5">
        <v>3.6697410000000001</v>
      </c>
      <c r="J130" s="5">
        <v>-0.65841099999999997</v>
      </c>
      <c r="K130" s="6">
        <v>298</v>
      </c>
      <c r="L130" s="6">
        <v>1100</v>
      </c>
      <c r="M130" s="4" t="s">
        <v>19</v>
      </c>
      <c r="N130" s="4" t="s">
        <v>20</v>
      </c>
      <c r="O130" s="7">
        <v>26.038</v>
      </c>
    </row>
    <row r="131" spans="1:15" ht="15" x14ac:dyDescent="0.3">
      <c r="A131" s="8">
        <v>130</v>
      </c>
      <c r="B131" s="9" t="s">
        <v>288</v>
      </c>
      <c r="C131" s="10" t="s">
        <v>289</v>
      </c>
      <c r="D131" s="10" t="s">
        <v>17</v>
      </c>
      <c r="E131" s="9" t="s">
        <v>236</v>
      </c>
      <c r="F131" s="11">
        <v>5.1937670000000002</v>
      </c>
      <c r="G131" s="11">
        <v>93.232489999999999</v>
      </c>
      <c r="H131" s="11">
        <v>-44.854570000000002</v>
      </c>
      <c r="I131" s="11">
        <v>7.8822789999999996</v>
      </c>
      <c r="J131" s="11">
        <v>0.55117499999999997</v>
      </c>
      <c r="K131" s="12">
        <v>298</v>
      </c>
      <c r="L131" s="12">
        <v>1200</v>
      </c>
      <c r="M131" s="10" t="s">
        <v>19</v>
      </c>
      <c r="N131" s="10" t="s">
        <v>20</v>
      </c>
      <c r="O131" s="13">
        <v>30.026</v>
      </c>
    </row>
    <row r="132" spans="1:15" ht="15" x14ac:dyDescent="0.3">
      <c r="A132" s="2">
        <v>131</v>
      </c>
      <c r="B132" s="3" t="s">
        <v>290</v>
      </c>
      <c r="C132" s="4" t="s">
        <v>291</v>
      </c>
      <c r="D132" s="4" t="s">
        <v>17</v>
      </c>
      <c r="E132" s="3" t="s">
        <v>236</v>
      </c>
      <c r="F132" s="5">
        <v>19.17351</v>
      </c>
      <c r="G132" s="5">
        <v>136.84440000000001</v>
      </c>
      <c r="H132" s="5">
        <v>-95.129930000000002</v>
      </c>
      <c r="I132" s="5">
        <v>26.03105</v>
      </c>
      <c r="J132" s="5">
        <v>-0.119405</v>
      </c>
      <c r="K132" s="6">
        <v>298</v>
      </c>
      <c r="L132" s="6">
        <v>1200</v>
      </c>
      <c r="M132" s="4" t="s">
        <v>19</v>
      </c>
      <c r="N132" s="4" t="s">
        <v>20</v>
      </c>
      <c r="O132" s="7">
        <v>84.93</v>
      </c>
    </row>
    <row r="133" spans="1:15" ht="15" x14ac:dyDescent="0.3">
      <c r="A133" s="8">
        <v>132</v>
      </c>
      <c r="B133" s="9" t="s">
        <v>292</v>
      </c>
      <c r="C133" s="10" t="s">
        <v>293</v>
      </c>
      <c r="D133" s="10" t="s">
        <v>17</v>
      </c>
      <c r="E133" s="9" t="s">
        <v>236</v>
      </c>
      <c r="F133" s="11">
        <v>44.247059999999998</v>
      </c>
      <c r="G133" s="11">
        <v>114.6734</v>
      </c>
      <c r="H133" s="11">
        <v>-88.818370000000002</v>
      </c>
      <c r="I133" s="11">
        <v>25.899920000000002</v>
      </c>
      <c r="J133" s="11">
        <v>-0.52280800000000005</v>
      </c>
      <c r="K133" s="12">
        <v>298</v>
      </c>
      <c r="L133" s="12">
        <v>1200</v>
      </c>
      <c r="M133" s="10" t="s">
        <v>19</v>
      </c>
      <c r="N133" s="10" t="s">
        <v>20</v>
      </c>
      <c r="O133" s="13">
        <v>119.38</v>
      </c>
    </row>
    <row r="134" spans="1:15" ht="15" x14ac:dyDescent="0.3">
      <c r="A134" s="2">
        <v>133</v>
      </c>
      <c r="B134" s="3" t="s">
        <v>294</v>
      </c>
      <c r="C134" s="4" t="s">
        <v>295</v>
      </c>
      <c r="D134" s="4" t="s">
        <v>17</v>
      </c>
      <c r="E134" s="3" t="s">
        <v>236</v>
      </c>
      <c r="F134" s="5">
        <v>103.1134</v>
      </c>
      <c r="G134" s="5">
        <v>4.188644</v>
      </c>
      <c r="H134" s="5">
        <v>-1.1264749999999999</v>
      </c>
      <c r="I134" s="5">
        <v>9.5676999999999998E-2</v>
      </c>
      <c r="J134" s="5">
        <v>-1.919624</v>
      </c>
      <c r="K134" s="6">
        <v>298</v>
      </c>
      <c r="L134" s="6">
        <v>6000</v>
      </c>
      <c r="M134" s="4" t="s">
        <v>19</v>
      </c>
      <c r="N134" s="4" t="s">
        <v>20</v>
      </c>
      <c r="O134" s="7">
        <v>153.82</v>
      </c>
    </row>
    <row r="135" spans="1:15" ht="15" x14ac:dyDescent="0.3">
      <c r="A135" s="8">
        <v>134</v>
      </c>
      <c r="B135" s="9" t="s">
        <v>296</v>
      </c>
      <c r="C135" s="10" t="s">
        <v>297</v>
      </c>
      <c r="D135" s="10" t="s">
        <v>17</v>
      </c>
      <c r="E135" s="9" t="s">
        <v>236</v>
      </c>
      <c r="F135" s="11">
        <v>43.551259999999999</v>
      </c>
      <c r="G135" s="11">
        <v>175.90790000000001</v>
      </c>
      <c r="H135" s="11">
        <v>-138.73310000000001</v>
      </c>
      <c r="I135" s="11">
        <v>40.356189999999998</v>
      </c>
      <c r="J135" s="11">
        <v>-0.38125999999999999</v>
      </c>
      <c r="K135" s="12">
        <v>298</v>
      </c>
      <c r="L135" s="12">
        <v>1100</v>
      </c>
      <c r="M135" s="10" t="s">
        <v>19</v>
      </c>
      <c r="N135" s="10" t="s">
        <v>20</v>
      </c>
      <c r="O135" s="13">
        <v>100.015</v>
      </c>
    </row>
    <row r="136" spans="1:15" ht="15" x14ac:dyDescent="0.3">
      <c r="A136" s="2">
        <v>135</v>
      </c>
      <c r="B136" s="3" t="s">
        <v>298</v>
      </c>
      <c r="C136" s="4" t="s">
        <v>299</v>
      </c>
      <c r="D136" s="4" t="s">
        <v>17</v>
      </c>
      <c r="E136" s="3" t="s">
        <v>236</v>
      </c>
      <c r="F136" s="5">
        <v>24.025030000000001</v>
      </c>
      <c r="G136" s="5">
        <v>119.4607</v>
      </c>
      <c r="H136" s="5">
        <v>-94.386859999999999</v>
      </c>
      <c r="I136" s="5">
        <v>26.96237</v>
      </c>
      <c r="J136" s="5">
        <v>-0.117517</v>
      </c>
      <c r="K136" s="6">
        <v>298</v>
      </c>
      <c r="L136" s="6">
        <v>1200</v>
      </c>
      <c r="M136" s="4" t="s">
        <v>19</v>
      </c>
      <c r="N136" s="4" t="s">
        <v>20</v>
      </c>
      <c r="O136" s="7">
        <v>80.06</v>
      </c>
    </row>
    <row r="137" spans="1:15" ht="15" x14ac:dyDescent="0.3">
      <c r="A137" s="8">
        <v>136</v>
      </c>
      <c r="B137" s="9" t="s">
        <v>300</v>
      </c>
      <c r="C137" s="10" t="s">
        <v>301</v>
      </c>
      <c r="D137" s="10" t="s">
        <v>17</v>
      </c>
      <c r="E137" s="9" t="s">
        <v>236</v>
      </c>
      <c r="F137" s="11">
        <v>26.884119999999999</v>
      </c>
      <c r="G137" s="11">
        <v>18.678090000000001</v>
      </c>
      <c r="H137" s="11">
        <v>3.4342030000000001</v>
      </c>
      <c r="I137" s="11">
        <v>-3.3787020000000001</v>
      </c>
      <c r="J137" s="11">
        <v>0.135882</v>
      </c>
      <c r="K137" s="12">
        <v>298</v>
      </c>
      <c r="L137" s="12">
        <v>1400</v>
      </c>
      <c r="M137" s="10" t="s">
        <v>19</v>
      </c>
      <c r="N137" s="10" t="s">
        <v>20</v>
      </c>
      <c r="O137" s="13">
        <v>34.08</v>
      </c>
    </row>
    <row r="138" spans="1:15" ht="15" x14ac:dyDescent="0.3">
      <c r="A138" s="2">
        <v>137</v>
      </c>
      <c r="B138" s="3" t="s">
        <v>302</v>
      </c>
      <c r="C138" s="4" t="s">
        <v>303</v>
      </c>
      <c r="D138" s="4" t="s">
        <v>17</v>
      </c>
      <c r="E138" s="3" t="s">
        <v>236</v>
      </c>
      <c r="F138" s="5">
        <v>34.538919999999997</v>
      </c>
      <c r="G138" s="5">
        <v>43.053780000000003</v>
      </c>
      <c r="H138" s="5">
        <v>-26.617730000000002</v>
      </c>
      <c r="I138" s="5">
        <v>6.3388439999999999</v>
      </c>
      <c r="J138" s="5">
        <v>-0.327515</v>
      </c>
      <c r="K138" s="6">
        <v>298</v>
      </c>
      <c r="L138" s="6">
        <v>1200</v>
      </c>
      <c r="M138" s="4" t="s">
        <v>19</v>
      </c>
      <c r="N138" s="4" t="s">
        <v>20</v>
      </c>
      <c r="O138" s="7">
        <v>60.07</v>
      </c>
    </row>
    <row r="139" spans="1:15" ht="15" x14ac:dyDescent="0.3">
      <c r="A139" s="8">
        <v>138</v>
      </c>
      <c r="B139" s="9" t="s">
        <v>304</v>
      </c>
      <c r="C139" s="10" t="s">
        <v>305</v>
      </c>
      <c r="D139" s="10" t="s">
        <v>17</v>
      </c>
      <c r="E139" s="9" t="s">
        <v>236</v>
      </c>
      <c r="F139" s="11">
        <v>35.853909999999999</v>
      </c>
      <c r="G139" s="11">
        <v>52.491210000000002</v>
      </c>
      <c r="H139" s="11">
        <v>-40.837429999999998</v>
      </c>
      <c r="I139" s="11">
        <v>12.00155</v>
      </c>
      <c r="J139" s="11">
        <v>-0.224831</v>
      </c>
      <c r="K139" s="12">
        <v>298</v>
      </c>
      <c r="L139" s="12">
        <v>1000</v>
      </c>
      <c r="M139" s="10" t="s">
        <v>19</v>
      </c>
      <c r="N139" s="10" t="s">
        <v>20</v>
      </c>
      <c r="O139" s="13">
        <v>76.14</v>
      </c>
    </row>
    <row r="140" spans="1:15" ht="15" x14ac:dyDescent="0.3">
      <c r="A140" s="2">
        <v>139</v>
      </c>
      <c r="B140" s="3" t="s">
        <v>306</v>
      </c>
      <c r="C140" s="4" t="s">
        <v>307</v>
      </c>
      <c r="D140" s="4" t="s">
        <v>17</v>
      </c>
      <c r="E140" s="3" t="s">
        <v>236</v>
      </c>
      <c r="F140" s="5">
        <v>32.123919999999998</v>
      </c>
      <c r="G140" s="5">
        <v>-13.45805</v>
      </c>
      <c r="H140" s="5">
        <v>19.86852</v>
      </c>
      <c r="I140" s="5">
        <v>-6.853936</v>
      </c>
      <c r="J140" s="5">
        <v>-4.9672000000000001E-2</v>
      </c>
      <c r="K140" s="6">
        <v>298</v>
      </c>
      <c r="L140" s="6">
        <v>1200</v>
      </c>
      <c r="M140" s="4" t="s">
        <v>19</v>
      </c>
      <c r="N140" s="4" t="s">
        <v>20</v>
      </c>
      <c r="O140" s="7">
        <v>36.457999999999998</v>
      </c>
    </row>
    <row r="141" spans="1:15" ht="15" x14ac:dyDescent="0.3">
      <c r="A141" s="8">
        <v>140</v>
      </c>
      <c r="B141" s="9" t="s">
        <v>308</v>
      </c>
      <c r="C141" s="10" t="s">
        <v>309</v>
      </c>
      <c r="D141" s="10" t="s">
        <v>17</v>
      </c>
      <c r="E141" s="9" t="s">
        <v>236</v>
      </c>
      <c r="F141" s="11">
        <v>30.11693</v>
      </c>
      <c r="G141" s="11">
        <v>-3.2466119999999998</v>
      </c>
      <c r="H141" s="11">
        <v>2.8681160000000001</v>
      </c>
      <c r="I141" s="11">
        <v>0.45791399999999999</v>
      </c>
      <c r="J141" s="11">
        <v>-2.4861000000000001E-2</v>
      </c>
      <c r="K141" s="12">
        <v>298</v>
      </c>
      <c r="L141" s="12">
        <v>1000</v>
      </c>
      <c r="M141" s="10" t="s">
        <v>19</v>
      </c>
      <c r="N141" s="10" t="s">
        <v>20</v>
      </c>
      <c r="O141" s="13">
        <v>20.006</v>
      </c>
    </row>
    <row r="142" spans="1:15" ht="15" x14ac:dyDescent="0.3">
      <c r="A142" s="2">
        <v>141</v>
      </c>
      <c r="B142" s="3" t="s">
        <v>310</v>
      </c>
      <c r="C142" s="4" t="s">
        <v>311</v>
      </c>
      <c r="D142" s="4" t="s">
        <v>17</v>
      </c>
      <c r="E142" s="3" t="s">
        <v>236</v>
      </c>
      <c r="F142" s="5">
        <v>31.714089999999999</v>
      </c>
      <c r="G142" s="5">
        <v>-13.699920000000001</v>
      </c>
      <c r="H142" s="5">
        <v>23.35567</v>
      </c>
      <c r="I142" s="5">
        <v>-9.0085289999999993</v>
      </c>
      <c r="J142" s="5">
        <v>-2.8757999999999999E-2</v>
      </c>
      <c r="K142" s="6">
        <v>298</v>
      </c>
      <c r="L142" s="6">
        <v>1100</v>
      </c>
      <c r="M142" s="4" t="s">
        <v>19</v>
      </c>
      <c r="N142" s="4" t="s">
        <v>20</v>
      </c>
      <c r="O142" s="7">
        <v>80.912000000000006</v>
      </c>
    </row>
    <row r="143" spans="1:15" ht="15" x14ac:dyDescent="0.3">
      <c r="A143" s="8">
        <v>142</v>
      </c>
      <c r="B143" s="9" t="s">
        <v>312</v>
      </c>
      <c r="C143" s="10" t="s">
        <v>313</v>
      </c>
      <c r="D143" s="10" t="s">
        <v>17</v>
      </c>
      <c r="E143" s="9" t="s">
        <v>236</v>
      </c>
      <c r="F143" s="11">
        <v>26.045400000000001</v>
      </c>
      <c r="G143" s="11">
        <v>4.6896779999999998</v>
      </c>
      <c r="H143" s="11">
        <v>4.9117649999999999</v>
      </c>
      <c r="I143" s="11">
        <v>-2.6543969999999999</v>
      </c>
      <c r="J143" s="11">
        <v>0.121419</v>
      </c>
      <c r="K143" s="12">
        <v>298</v>
      </c>
      <c r="L143" s="12">
        <v>1400</v>
      </c>
      <c r="M143" s="10" t="s">
        <v>19</v>
      </c>
      <c r="N143" s="10" t="s">
        <v>20</v>
      </c>
      <c r="O143" s="13">
        <v>127.908</v>
      </c>
    </row>
    <row r="144" spans="1:15" ht="15" x14ac:dyDescent="0.3">
      <c r="A144" s="2">
        <v>143</v>
      </c>
      <c r="B144" s="3" t="s">
        <v>314</v>
      </c>
      <c r="C144" s="4" t="s">
        <v>315</v>
      </c>
      <c r="D144" s="4" t="s">
        <v>17</v>
      </c>
      <c r="E144" s="3" t="s">
        <v>236</v>
      </c>
      <c r="F144" s="5">
        <v>58.903190000000002</v>
      </c>
      <c r="G144" s="5">
        <v>255.53989999999999</v>
      </c>
      <c r="H144" s="5">
        <v>-252.2747</v>
      </c>
      <c r="I144" s="5">
        <v>88.760630000000006</v>
      </c>
      <c r="J144" s="5">
        <v>-1.6089709999999999</v>
      </c>
      <c r="K144" s="6">
        <v>298</v>
      </c>
      <c r="L144" s="6">
        <v>1000</v>
      </c>
      <c r="M144" s="4" t="s">
        <v>19</v>
      </c>
      <c r="N144" s="4" t="s">
        <v>20</v>
      </c>
      <c r="O144" s="7">
        <v>146.06</v>
      </c>
    </row>
    <row r="145" spans="1:15" ht="15" x14ac:dyDescent="0.3">
      <c r="A145" s="8">
        <v>144</v>
      </c>
      <c r="B145" s="9" t="s">
        <v>316</v>
      </c>
      <c r="C145" s="10" t="s">
        <v>317</v>
      </c>
      <c r="D145" s="10" t="s">
        <v>17</v>
      </c>
      <c r="E145" s="9" t="s">
        <v>236</v>
      </c>
      <c r="F145" s="11">
        <v>26.456099999999999</v>
      </c>
      <c r="G145" s="11">
        <v>142.26060000000001</v>
      </c>
      <c r="H145" s="11">
        <v>-137.61340000000001</v>
      </c>
      <c r="I145" s="11">
        <v>47.685049999999997</v>
      </c>
      <c r="J145" s="11">
        <v>-0.40449099999999999</v>
      </c>
      <c r="K145" s="12">
        <v>298</v>
      </c>
      <c r="L145" s="12">
        <v>1000</v>
      </c>
      <c r="M145" s="10" t="s">
        <v>19</v>
      </c>
      <c r="N145" s="10" t="s">
        <v>20</v>
      </c>
      <c r="O145" s="13">
        <v>71</v>
      </c>
    </row>
    <row r="146" spans="1:15" ht="15" x14ac:dyDescent="0.3">
      <c r="A146" s="2">
        <v>145</v>
      </c>
      <c r="B146" s="3" t="s">
        <v>318</v>
      </c>
      <c r="C146" s="4" t="s">
        <v>319</v>
      </c>
      <c r="D146" s="4" t="s">
        <v>17</v>
      </c>
      <c r="E146" s="3" t="s">
        <v>236</v>
      </c>
      <c r="F146" s="5">
        <v>21.28631</v>
      </c>
      <c r="G146" s="5">
        <v>130.3006</v>
      </c>
      <c r="H146" s="5">
        <v>-109.9919</v>
      </c>
      <c r="I146" s="5">
        <v>34.288379999999997</v>
      </c>
      <c r="J146" s="5">
        <v>-7.3386000000000007E-2</v>
      </c>
      <c r="K146" s="6">
        <v>298</v>
      </c>
      <c r="L146" s="6">
        <v>1000</v>
      </c>
      <c r="M146" s="4" t="s">
        <v>19</v>
      </c>
      <c r="N146" s="4" t="s">
        <v>20</v>
      </c>
      <c r="O146" s="7">
        <v>67.81</v>
      </c>
    </row>
    <row r="147" spans="1:15" ht="15" x14ac:dyDescent="0.3">
      <c r="A147" s="8">
        <v>146</v>
      </c>
      <c r="B147" s="9" t="s">
        <v>320</v>
      </c>
      <c r="C147" s="10" t="s">
        <v>321</v>
      </c>
      <c r="D147" s="10" t="s">
        <v>17</v>
      </c>
      <c r="E147" s="9" t="s">
        <v>236</v>
      </c>
      <c r="F147" s="11">
        <v>35.289700000000003</v>
      </c>
      <c r="G147" s="11">
        <v>137.50720000000001</v>
      </c>
      <c r="H147" s="11">
        <v>-157.70670000000001</v>
      </c>
      <c r="I147" s="11">
        <v>66.772040000000004</v>
      </c>
      <c r="J147" s="11">
        <v>-0.146399</v>
      </c>
      <c r="K147" s="12">
        <v>298</v>
      </c>
      <c r="L147" s="12">
        <v>700</v>
      </c>
      <c r="M147" s="10" t="s">
        <v>19</v>
      </c>
      <c r="N147" s="10" t="s">
        <v>20</v>
      </c>
      <c r="O147" s="13">
        <v>117.17</v>
      </c>
    </row>
    <row r="148" spans="1:15" ht="15" x14ac:dyDescent="0.3">
      <c r="A148" s="2">
        <v>147</v>
      </c>
      <c r="B148" s="3" t="s">
        <v>322</v>
      </c>
      <c r="C148" s="4" t="s">
        <v>323</v>
      </c>
      <c r="D148" s="4" t="s">
        <v>17</v>
      </c>
      <c r="E148" s="3" t="s">
        <v>236</v>
      </c>
      <c r="F148" s="5">
        <v>42.985999999999997</v>
      </c>
      <c r="G148" s="5">
        <v>159.28030000000001</v>
      </c>
      <c r="H148" s="5">
        <v>-151.13740000000001</v>
      </c>
      <c r="I148" s="5">
        <v>51.606290000000001</v>
      </c>
      <c r="J148" s="5">
        <v>-0.42703999999999998</v>
      </c>
      <c r="K148" s="6">
        <v>298</v>
      </c>
      <c r="L148" s="6">
        <v>1000</v>
      </c>
      <c r="M148" s="4" t="s">
        <v>19</v>
      </c>
      <c r="N148" s="4" t="s">
        <v>20</v>
      </c>
      <c r="O148" s="7">
        <v>104.08</v>
      </c>
    </row>
    <row r="149" spans="1:15" ht="15" x14ac:dyDescent="0.3">
      <c r="A149" s="8">
        <v>148</v>
      </c>
      <c r="B149" s="9" t="s">
        <v>324</v>
      </c>
      <c r="C149" s="10" t="s">
        <v>325</v>
      </c>
      <c r="D149" s="10" t="s">
        <v>17</v>
      </c>
      <c r="E149" s="9" t="s">
        <v>236</v>
      </c>
      <c r="F149" s="11">
        <v>105.58620000000001</v>
      </c>
      <c r="G149" s="11">
        <v>2.1230829999999998</v>
      </c>
      <c r="H149" s="11">
        <v>-0.57351799999999997</v>
      </c>
      <c r="I149" s="11">
        <v>4.8847000000000002E-2</v>
      </c>
      <c r="J149" s="11">
        <v>-1.449627</v>
      </c>
      <c r="K149" s="12">
        <v>298</v>
      </c>
      <c r="L149" s="12">
        <v>6000</v>
      </c>
      <c r="M149" s="10" t="s">
        <v>19</v>
      </c>
      <c r="N149" s="10" t="s">
        <v>20</v>
      </c>
      <c r="O149" s="13">
        <v>169.9</v>
      </c>
    </row>
    <row r="150" spans="1:15" ht="15" x14ac:dyDescent="0.3">
      <c r="A150" s="2">
        <v>149</v>
      </c>
      <c r="B150" s="3" t="s">
        <v>326</v>
      </c>
      <c r="C150" s="4" t="s">
        <v>327</v>
      </c>
      <c r="D150" s="4" t="s">
        <v>17</v>
      </c>
      <c r="E150" s="3" t="s">
        <v>236</v>
      </c>
      <c r="F150" s="5">
        <v>143.048</v>
      </c>
      <c r="G150" s="5">
        <v>7.6003619999999996</v>
      </c>
      <c r="H150" s="5">
        <v>1.530575</v>
      </c>
      <c r="I150" s="5">
        <v>-0.53837599999999997</v>
      </c>
      <c r="J150" s="5">
        <v>-2.0638E-2</v>
      </c>
      <c r="K150" s="6">
        <v>298</v>
      </c>
      <c r="L150" s="6">
        <v>1000</v>
      </c>
      <c r="M150" s="4" t="s">
        <v>19</v>
      </c>
      <c r="N150" s="4" t="s">
        <v>20</v>
      </c>
      <c r="O150" s="7">
        <v>189.68</v>
      </c>
    </row>
    <row r="151" spans="1:15" ht="15" x14ac:dyDescent="0.3">
      <c r="A151" s="8">
        <v>150</v>
      </c>
      <c r="B151" s="9" t="s">
        <v>328</v>
      </c>
      <c r="C151" s="10" t="s">
        <v>329</v>
      </c>
      <c r="D151" s="10" t="s">
        <v>17</v>
      </c>
      <c r="E151" s="9" t="s">
        <v>236</v>
      </c>
      <c r="F151" s="11">
        <v>27.679880000000001</v>
      </c>
      <c r="G151" s="11">
        <v>51.148980000000002</v>
      </c>
      <c r="H151" s="11">
        <v>-30.644539999999999</v>
      </c>
      <c r="I151" s="11">
        <v>6.8479109999999999</v>
      </c>
      <c r="J151" s="11">
        <v>-0.15790599999999999</v>
      </c>
      <c r="K151" s="12">
        <v>298</v>
      </c>
      <c r="L151" s="12">
        <v>1400</v>
      </c>
      <c r="M151" s="10" t="s">
        <v>19</v>
      </c>
      <c r="N151" s="10" t="s">
        <v>20</v>
      </c>
      <c r="O151" s="13">
        <v>44.012999999999998</v>
      </c>
    </row>
    <row r="152" spans="1:15" ht="15" x14ac:dyDescent="0.3">
      <c r="A152" s="2">
        <v>151</v>
      </c>
      <c r="B152" s="3" t="s">
        <v>330</v>
      </c>
      <c r="C152" s="4" t="s">
        <v>331</v>
      </c>
      <c r="D152" s="4" t="s">
        <v>17</v>
      </c>
      <c r="E152" s="3" t="s">
        <v>236</v>
      </c>
      <c r="F152" s="5">
        <v>89.163129999999995</v>
      </c>
      <c r="G152" s="5">
        <v>178.91409999999999</v>
      </c>
      <c r="H152" s="5">
        <v>0.92945900000000004</v>
      </c>
      <c r="I152" s="5">
        <v>0</v>
      </c>
      <c r="J152" s="5">
        <v>-7.1069999999999996E-3</v>
      </c>
      <c r="K152" s="6">
        <v>298</v>
      </c>
      <c r="L152" s="6">
        <v>500</v>
      </c>
      <c r="M152" s="4" t="s">
        <v>19</v>
      </c>
      <c r="N152" s="4" t="s">
        <v>20</v>
      </c>
      <c r="O152" s="7">
        <v>92.010999999999996</v>
      </c>
    </row>
    <row r="153" spans="1:15" ht="15" x14ac:dyDescent="0.3">
      <c r="A153" s="8">
        <v>152</v>
      </c>
      <c r="B153" s="9" t="s">
        <v>332</v>
      </c>
      <c r="C153" s="10" t="s">
        <v>333</v>
      </c>
      <c r="D153" s="10" t="s">
        <v>17</v>
      </c>
      <c r="E153" s="9" t="s">
        <v>236</v>
      </c>
      <c r="F153" s="11">
        <v>23.851520000000001</v>
      </c>
      <c r="G153" s="11">
        <v>337.98939999999999</v>
      </c>
      <c r="H153" s="11">
        <v>-353.45299999999997</v>
      </c>
      <c r="I153" s="11">
        <v>134.8407</v>
      </c>
      <c r="J153" s="11">
        <v>-4.2446999999999999E-2</v>
      </c>
      <c r="K153" s="12">
        <v>298</v>
      </c>
      <c r="L153" s="12">
        <v>800</v>
      </c>
      <c r="M153" s="10" t="s">
        <v>19</v>
      </c>
      <c r="N153" s="10" t="s">
        <v>20</v>
      </c>
      <c r="O153" s="13">
        <v>108.01</v>
      </c>
    </row>
    <row r="154" spans="1:15" ht="15" x14ac:dyDescent="0.3">
      <c r="A154" s="2">
        <v>153</v>
      </c>
      <c r="B154" s="3" t="s">
        <v>334</v>
      </c>
      <c r="C154" s="4" t="s">
        <v>335</v>
      </c>
      <c r="D154" s="4" t="s">
        <v>17</v>
      </c>
      <c r="E154" s="3" t="s">
        <v>223</v>
      </c>
      <c r="F154" s="5">
        <v>32.559640000000002</v>
      </c>
      <c r="G154" s="5">
        <v>305.48930000000001</v>
      </c>
      <c r="H154" s="5">
        <v>-264.41000000000003</v>
      </c>
      <c r="I154" s="5">
        <v>81.956609999999998</v>
      </c>
      <c r="J154" s="5">
        <v>-0.15080499999999999</v>
      </c>
      <c r="K154" s="6">
        <v>298</v>
      </c>
      <c r="L154" s="6">
        <v>1200</v>
      </c>
      <c r="M154" s="4" t="s">
        <v>19</v>
      </c>
      <c r="N154" s="4" t="s">
        <v>20</v>
      </c>
      <c r="O154" s="7">
        <v>151.90100000000001</v>
      </c>
    </row>
    <row r="155" spans="1:15" ht="15" x14ac:dyDescent="0.3">
      <c r="A155" s="8">
        <v>154</v>
      </c>
      <c r="B155" s="9" t="s">
        <v>336</v>
      </c>
      <c r="C155" s="10" t="s">
        <v>337</v>
      </c>
      <c r="D155" s="10" t="s">
        <v>17</v>
      </c>
      <c r="E155" s="9" t="s">
        <v>223</v>
      </c>
      <c r="F155" s="11">
        <v>87.578000000000003</v>
      </c>
      <c r="G155" s="11">
        <v>129.458</v>
      </c>
      <c r="H155" s="11">
        <v>-78.231099999999998</v>
      </c>
      <c r="I155" s="11">
        <v>17.2315</v>
      </c>
      <c r="J155" s="11">
        <v>-1.8798410000000001</v>
      </c>
      <c r="K155" s="12">
        <v>298</v>
      </c>
      <c r="L155" s="12">
        <v>2000</v>
      </c>
      <c r="M155" s="10" t="s">
        <v>19</v>
      </c>
      <c r="N155" s="10" t="s">
        <v>20</v>
      </c>
      <c r="O155" s="13">
        <v>159.602</v>
      </c>
    </row>
    <row r="156" spans="1:15" ht="15" x14ac:dyDescent="0.3">
      <c r="A156" s="2">
        <v>155</v>
      </c>
      <c r="B156" s="3" t="s">
        <v>338</v>
      </c>
      <c r="C156" s="4" t="s">
        <v>339</v>
      </c>
      <c r="D156" s="4" t="s">
        <v>17</v>
      </c>
      <c r="E156" s="3" t="s">
        <v>223</v>
      </c>
      <c r="F156" s="5">
        <v>114.458</v>
      </c>
      <c r="G156" s="5">
        <v>-139.56399999999999</v>
      </c>
      <c r="H156" s="5">
        <v>566.61500000000001</v>
      </c>
      <c r="I156" s="5">
        <v>-402.51900000000001</v>
      </c>
      <c r="J156" s="5">
        <v>-1.2011099999999999</v>
      </c>
      <c r="K156" s="6">
        <v>298</v>
      </c>
      <c r="L156" s="6">
        <v>540</v>
      </c>
      <c r="M156" s="4" t="s">
        <v>19</v>
      </c>
      <c r="N156" s="4" t="s">
        <v>20</v>
      </c>
      <c r="O156" s="7">
        <v>161.43600000000001</v>
      </c>
    </row>
    <row r="157" spans="1:15" ht="15" x14ac:dyDescent="0.3">
      <c r="A157" s="8">
        <v>156</v>
      </c>
      <c r="B157" s="9" t="s">
        <v>340</v>
      </c>
      <c r="C157" s="10" t="s">
        <v>341</v>
      </c>
      <c r="D157" s="10" t="s">
        <v>17</v>
      </c>
      <c r="E157" s="9" t="s">
        <v>223</v>
      </c>
      <c r="F157" s="11">
        <v>32.860469999999999</v>
      </c>
      <c r="G157" s="11">
        <v>311.25779999999997</v>
      </c>
      <c r="H157" s="11">
        <v>-267.3116</v>
      </c>
      <c r="I157" s="11">
        <v>80.829859999999996</v>
      </c>
      <c r="J157" s="11">
        <v>-6.9617999999999999E-2</v>
      </c>
      <c r="K157" s="12">
        <v>298</v>
      </c>
      <c r="L157" s="12">
        <v>964</v>
      </c>
      <c r="M157" s="10" t="s">
        <v>19</v>
      </c>
      <c r="N157" s="10" t="s">
        <v>20</v>
      </c>
      <c r="O157" s="13">
        <v>154.989</v>
      </c>
    </row>
    <row r="158" spans="1:15" ht="15" x14ac:dyDescent="0.3">
      <c r="A158" s="2">
        <v>157</v>
      </c>
      <c r="B158" s="3" t="s">
        <v>342</v>
      </c>
      <c r="C158" s="4" t="s">
        <v>343</v>
      </c>
      <c r="D158" s="4" t="s">
        <v>17</v>
      </c>
      <c r="E158" s="3" t="s">
        <v>223</v>
      </c>
      <c r="F158" s="5">
        <v>130.4203</v>
      </c>
      <c r="G158" s="5">
        <v>25.113959999999999</v>
      </c>
      <c r="H158" s="5">
        <v>104.2193</v>
      </c>
      <c r="I158" s="5">
        <v>-33.708689999999997</v>
      </c>
      <c r="J158" s="5">
        <v>-2.5500889999999998</v>
      </c>
      <c r="K158" s="6">
        <v>298</v>
      </c>
      <c r="L158" s="6">
        <v>1132</v>
      </c>
      <c r="M158" s="4" t="s">
        <v>19</v>
      </c>
      <c r="N158" s="4" t="s">
        <v>20</v>
      </c>
      <c r="O158" s="7">
        <v>109.93600000000001</v>
      </c>
    </row>
    <row r="159" spans="1:15" ht="15" x14ac:dyDescent="0.3">
      <c r="A159" s="8">
        <v>158</v>
      </c>
      <c r="B159" s="9" t="s">
        <v>344</v>
      </c>
      <c r="C159" s="10" t="s">
        <v>345</v>
      </c>
      <c r="D159" s="10" t="s">
        <v>17</v>
      </c>
      <c r="E159" s="9" t="s">
        <v>220</v>
      </c>
      <c r="F159" s="11">
        <v>175.20099999999999</v>
      </c>
      <c r="G159" s="11">
        <v>-348.05799999999999</v>
      </c>
      <c r="H159" s="11">
        <v>743.072</v>
      </c>
      <c r="I159" s="11">
        <v>-305.55099999999999</v>
      </c>
      <c r="J159" s="11">
        <v>-1.6342209999999999</v>
      </c>
      <c r="K159" s="12">
        <v>298</v>
      </c>
      <c r="L159" s="12">
        <v>723</v>
      </c>
      <c r="M159" s="10" t="s">
        <v>19</v>
      </c>
      <c r="N159" s="10" t="s">
        <v>20</v>
      </c>
      <c r="O159" s="13">
        <v>105.988</v>
      </c>
    </row>
    <row r="160" spans="1:15" ht="15" x14ac:dyDescent="0.3">
      <c r="A160" s="2">
        <v>159</v>
      </c>
      <c r="B160" s="3" t="s">
        <v>346</v>
      </c>
      <c r="C160" s="4" t="s">
        <v>347</v>
      </c>
      <c r="D160" s="4" t="s">
        <v>17</v>
      </c>
      <c r="E160" s="3" t="s">
        <v>220</v>
      </c>
      <c r="F160" s="5">
        <v>97.080929999999995</v>
      </c>
      <c r="G160" s="5">
        <v>94.223259999999996</v>
      </c>
      <c r="H160" s="5">
        <v>-2.0532910000000002</v>
      </c>
      <c r="I160" s="5">
        <v>0.70964400000000005</v>
      </c>
      <c r="J160" s="5">
        <v>-0.94786000000000004</v>
      </c>
      <c r="K160" s="6">
        <v>298</v>
      </c>
      <c r="L160" s="6">
        <v>1174</v>
      </c>
      <c r="M160" s="4" t="s">
        <v>19</v>
      </c>
      <c r="N160" s="4" t="s">
        <v>20</v>
      </c>
      <c r="O160" s="7">
        <v>138.20400000000001</v>
      </c>
    </row>
    <row r="161" spans="1:15" ht="15" x14ac:dyDescent="0.3">
      <c r="A161" s="8">
        <v>160</v>
      </c>
      <c r="B161" s="9" t="s">
        <v>348</v>
      </c>
      <c r="C161" s="10" t="s">
        <v>349</v>
      </c>
      <c r="D161" s="10" t="s">
        <v>17</v>
      </c>
      <c r="E161" s="9" t="s">
        <v>220</v>
      </c>
      <c r="F161" s="11">
        <v>68.332300000000004</v>
      </c>
      <c r="G161" s="11">
        <v>146.63900000000001</v>
      </c>
      <c r="H161" s="11">
        <v>-162.57300000000001</v>
      </c>
      <c r="I161" s="11">
        <v>248.02600000000001</v>
      </c>
      <c r="J161" s="11">
        <v>-0.70229699999999995</v>
      </c>
      <c r="K161" s="12">
        <v>298</v>
      </c>
      <c r="L161" s="12">
        <v>683</v>
      </c>
      <c r="M161" s="10" t="s">
        <v>19</v>
      </c>
      <c r="N161" s="10" t="s">
        <v>20</v>
      </c>
      <c r="O161" s="13">
        <v>73.888000000000005</v>
      </c>
    </row>
    <row r="162" spans="1:15" ht="15" x14ac:dyDescent="0.3">
      <c r="A162" s="2">
        <v>161</v>
      </c>
      <c r="B162" s="3" t="s">
        <v>350</v>
      </c>
      <c r="C162" s="4" t="s">
        <v>351</v>
      </c>
      <c r="D162" s="4" t="s">
        <v>17</v>
      </c>
      <c r="E162" s="3" t="s">
        <v>183</v>
      </c>
      <c r="F162" s="5">
        <v>2101.4699999999998</v>
      </c>
      <c r="G162" s="5">
        <v>-11194.4</v>
      </c>
      <c r="H162" s="5">
        <v>23342.3</v>
      </c>
      <c r="I162" s="5">
        <v>-16996.7</v>
      </c>
      <c r="J162" s="5">
        <v>-26.8353</v>
      </c>
      <c r="K162" s="6">
        <v>298</v>
      </c>
      <c r="L162" s="6">
        <v>458</v>
      </c>
      <c r="M162" s="4" t="s">
        <v>19</v>
      </c>
      <c r="N162" s="4" t="s">
        <v>20</v>
      </c>
      <c r="O162" s="7">
        <v>53.488999999999997</v>
      </c>
    </row>
    <row r="163" spans="1:15" ht="15" x14ac:dyDescent="0.3">
      <c r="A163" s="8">
        <v>162</v>
      </c>
      <c r="B163" s="9" t="s">
        <v>352</v>
      </c>
      <c r="C163" s="10" t="s">
        <v>353</v>
      </c>
      <c r="D163" s="10" t="s">
        <v>17</v>
      </c>
      <c r="E163" s="9" t="s">
        <v>183</v>
      </c>
      <c r="F163" s="11">
        <v>64.94614</v>
      </c>
      <c r="G163" s="11">
        <v>87.84057</v>
      </c>
      <c r="H163" s="11">
        <v>1.8217000000000001E-2</v>
      </c>
      <c r="I163" s="11">
        <v>-4.6490000000000004E-3</v>
      </c>
      <c r="J163" s="11">
        <v>-6.2699999999999995E-4</v>
      </c>
      <c r="K163" s="12">
        <v>298</v>
      </c>
      <c r="L163" s="12">
        <v>465.7</v>
      </c>
      <c r="M163" s="10" t="s">
        <v>19</v>
      </c>
      <c r="N163" s="10" t="s">
        <v>20</v>
      </c>
      <c r="O163" s="13">
        <v>133.33199999999999</v>
      </c>
    </row>
    <row r="164" spans="1:15" ht="15" x14ac:dyDescent="0.3">
      <c r="A164" s="2">
        <v>163</v>
      </c>
      <c r="B164" s="3" t="s">
        <v>354</v>
      </c>
      <c r="C164" s="4" t="s">
        <v>355</v>
      </c>
      <c r="D164" s="4" t="s">
        <v>17</v>
      </c>
      <c r="E164" s="3" t="s">
        <v>183</v>
      </c>
      <c r="F164" s="5">
        <v>-27.17362</v>
      </c>
      <c r="G164" s="5">
        <v>594.26610000000005</v>
      </c>
      <c r="H164" s="5">
        <v>-1042.2719999999999</v>
      </c>
      <c r="I164" s="5">
        <v>662.44439999999997</v>
      </c>
      <c r="J164" s="5">
        <v>1.9262000000000001E-2</v>
      </c>
      <c r="K164" s="6">
        <v>298</v>
      </c>
      <c r="L164" s="6">
        <v>728</v>
      </c>
      <c r="M164" s="4" t="s">
        <v>19</v>
      </c>
      <c r="N164" s="4" t="s">
        <v>20</v>
      </c>
      <c r="O164" s="7">
        <v>83.975999999999999</v>
      </c>
    </row>
    <row r="165" spans="1:15" ht="15" x14ac:dyDescent="0.3">
      <c r="A165" s="8">
        <v>164</v>
      </c>
      <c r="B165" s="9" t="s">
        <v>356</v>
      </c>
      <c r="C165" s="10" t="s">
        <v>357</v>
      </c>
      <c r="D165" s="10" t="s">
        <v>17</v>
      </c>
      <c r="E165" s="9" t="s">
        <v>183</v>
      </c>
      <c r="F165" s="11">
        <v>979.11040000000003</v>
      </c>
      <c r="G165" s="11">
        <v>-4704.3639999999996</v>
      </c>
      <c r="H165" s="11">
        <v>9295.1740000000009</v>
      </c>
      <c r="I165" s="11">
        <v>-6246.9629999999997</v>
      </c>
      <c r="J165" s="11">
        <v>-12.49577</v>
      </c>
      <c r="K165" s="12">
        <v>298</v>
      </c>
      <c r="L165" s="12">
        <v>577</v>
      </c>
      <c r="M165" s="10" t="s">
        <v>19</v>
      </c>
      <c r="N165" s="10" t="s">
        <v>20</v>
      </c>
      <c r="O165" s="13">
        <v>162.19499999999999</v>
      </c>
    </row>
    <row r="166" spans="1:15" ht="15" x14ac:dyDescent="0.3">
      <c r="A166" s="2">
        <v>165</v>
      </c>
      <c r="B166" s="3" t="s">
        <v>358</v>
      </c>
      <c r="C166" s="4" t="s">
        <v>359</v>
      </c>
      <c r="D166" s="4" t="s">
        <v>17</v>
      </c>
      <c r="E166" s="3" t="s">
        <v>183</v>
      </c>
      <c r="F166" s="5">
        <v>73.668520000000001</v>
      </c>
      <c r="G166" s="5">
        <v>22.540089999999999</v>
      </c>
      <c r="H166" s="5">
        <v>-10.12172</v>
      </c>
      <c r="I166" s="5">
        <v>1.4661999999999999</v>
      </c>
      <c r="J166" s="5">
        <v>-0.25264799999999998</v>
      </c>
      <c r="K166" s="6">
        <v>298</v>
      </c>
      <c r="L166" s="6">
        <v>950</v>
      </c>
      <c r="M166" s="4" t="s">
        <v>19</v>
      </c>
      <c r="N166" s="4" t="s">
        <v>20</v>
      </c>
      <c r="O166" s="7">
        <v>126.745</v>
      </c>
    </row>
    <row r="167" spans="1:15" ht="15" x14ac:dyDescent="0.3">
      <c r="A167" s="8">
        <v>166</v>
      </c>
      <c r="B167" s="9" t="s">
        <v>360</v>
      </c>
      <c r="C167" s="10" t="s">
        <v>361</v>
      </c>
      <c r="D167" s="10" t="s">
        <v>17</v>
      </c>
      <c r="E167" s="9" t="s">
        <v>183</v>
      </c>
      <c r="F167" s="11">
        <v>70.218819999999994</v>
      </c>
      <c r="G167" s="11">
        <v>23.361319999999999</v>
      </c>
      <c r="H167" s="11">
        <v>-14.86876</v>
      </c>
      <c r="I167" s="11">
        <v>4.0538990000000004</v>
      </c>
      <c r="J167" s="11">
        <v>-0.366203</v>
      </c>
      <c r="K167" s="12">
        <v>298</v>
      </c>
      <c r="L167" s="12">
        <v>1500</v>
      </c>
      <c r="M167" s="10" t="s">
        <v>19</v>
      </c>
      <c r="N167" s="10" t="s">
        <v>20</v>
      </c>
      <c r="O167" s="13">
        <v>134.446</v>
      </c>
    </row>
    <row r="168" spans="1:15" ht="15" x14ac:dyDescent="0.3">
      <c r="A168" s="2">
        <v>167</v>
      </c>
      <c r="B168" s="3" t="s">
        <v>362</v>
      </c>
      <c r="C168" s="4" t="s">
        <v>363</v>
      </c>
      <c r="D168" s="4" t="s">
        <v>17</v>
      </c>
      <c r="E168" s="3" t="s">
        <v>183</v>
      </c>
      <c r="F168" s="5">
        <v>75.271000000000001</v>
      </c>
      <c r="G168" s="5">
        <v>-26.83212</v>
      </c>
      <c r="H168" s="5">
        <v>25.691559999999999</v>
      </c>
      <c r="I168" s="5">
        <v>-7.3579819999999998</v>
      </c>
      <c r="J168" s="5">
        <v>-1.847747</v>
      </c>
      <c r="K168" s="6">
        <v>298</v>
      </c>
      <c r="L168" s="6">
        <v>703</v>
      </c>
      <c r="M168" s="4" t="s">
        <v>19</v>
      </c>
      <c r="N168" s="4" t="s">
        <v>20</v>
      </c>
      <c r="O168" s="7">
        <v>98.995999999999995</v>
      </c>
    </row>
    <row r="169" spans="1:15" ht="15" x14ac:dyDescent="0.3">
      <c r="A169" s="8">
        <v>168</v>
      </c>
      <c r="B169" s="9" t="s">
        <v>364</v>
      </c>
      <c r="C169" s="10" t="s">
        <v>365</v>
      </c>
      <c r="D169" s="10" t="s">
        <v>17</v>
      </c>
      <c r="E169" s="9" t="s">
        <v>183</v>
      </c>
      <c r="F169" s="11">
        <v>60.62323</v>
      </c>
      <c r="G169" s="11">
        <v>89.736760000000004</v>
      </c>
      <c r="H169" s="11">
        <v>-131.7843</v>
      </c>
      <c r="I169" s="11">
        <v>65.88503</v>
      </c>
      <c r="J169" s="11">
        <v>-0.51401300000000005</v>
      </c>
      <c r="K169" s="12">
        <v>298</v>
      </c>
      <c r="L169" s="12">
        <v>1100</v>
      </c>
      <c r="M169" s="10" t="s">
        <v>19</v>
      </c>
      <c r="N169" s="10" t="s">
        <v>20</v>
      </c>
      <c r="O169" s="13">
        <v>129.59299999999999</v>
      </c>
    </row>
    <row r="170" spans="1:15" ht="15" x14ac:dyDescent="0.3">
      <c r="A170" s="2">
        <v>169</v>
      </c>
      <c r="B170" s="3" t="s">
        <v>366</v>
      </c>
      <c r="C170" s="4" t="s">
        <v>367</v>
      </c>
      <c r="D170" s="4" t="s">
        <v>17</v>
      </c>
      <c r="E170" s="3" t="s">
        <v>183</v>
      </c>
      <c r="F170" s="5">
        <v>79.309389999999993</v>
      </c>
      <c r="G170" s="5">
        <v>14.28782</v>
      </c>
      <c r="H170" s="5">
        <v>-6.293698</v>
      </c>
      <c r="I170" s="5">
        <v>1.3178639999999999</v>
      </c>
      <c r="J170" s="5">
        <v>-0.402808</v>
      </c>
      <c r="K170" s="6">
        <v>298</v>
      </c>
      <c r="L170" s="6">
        <v>1013</v>
      </c>
      <c r="M170" s="4" t="s">
        <v>19</v>
      </c>
      <c r="N170" s="4" t="s">
        <v>20</v>
      </c>
      <c r="O170" s="7">
        <v>129.833</v>
      </c>
    </row>
    <row r="171" spans="1:15" ht="15" x14ac:dyDescent="0.3">
      <c r="A171" s="8">
        <v>170</v>
      </c>
      <c r="B171" s="9" t="s">
        <v>368</v>
      </c>
      <c r="C171" s="10" t="s">
        <v>369</v>
      </c>
      <c r="D171" s="10" t="s">
        <v>17</v>
      </c>
      <c r="E171" s="9" t="s">
        <v>183</v>
      </c>
      <c r="F171" s="11">
        <v>92.96848</v>
      </c>
      <c r="G171" s="11">
        <v>18.80574</v>
      </c>
      <c r="H171" s="11">
        <v>-6.9930120000000002</v>
      </c>
      <c r="I171" s="11">
        <v>2.0245470000000001</v>
      </c>
      <c r="J171" s="11">
        <v>-7.6285000000000006E-2</v>
      </c>
      <c r="K171" s="12">
        <v>298</v>
      </c>
      <c r="L171" s="12">
        <v>1500</v>
      </c>
      <c r="M171" s="10" t="s">
        <v>19</v>
      </c>
      <c r="N171" s="10" t="s">
        <v>20</v>
      </c>
      <c r="O171" s="13">
        <v>154.21700000000001</v>
      </c>
    </row>
    <row r="172" spans="1:15" ht="15" x14ac:dyDescent="0.3">
      <c r="A172" s="2">
        <v>171</v>
      </c>
      <c r="B172" s="3" t="s">
        <v>370</v>
      </c>
      <c r="C172" s="4" t="s">
        <v>371</v>
      </c>
      <c r="D172" s="4" t="s">
        <v>17</v>
      </c>
      <c r="E172" s="3" t="s">
        <v>183</v>
      </c>
      <c r="F172" s="5">
        <v>71.366489999999999</v>
      </c>
      <c r="G172" s="5">
        <v>11.49274</v>
      </c>
      <c r="H172" s="5">
        <v>4.4855830000000001</v>
      </c>
      <c r="I172" s="5">
        <v>-0.91772699999999996</v>
      </c>
      <c r="J172" s="5">
        <v>-0.47772900000000001</v>
      </c>
      <c r="K172" s="6">
        <v>298</v>
      </c>
      <c r="L172" s="6">
        <v>2000</v>
      </c>
      <c r="M172" s="4" t="s">
        <v>19</v>
      </c>
      <c r="N172" s="4" t="s">
        <v>20</v>
      </c>
      <c r="O172" s="7">
        <v>118.767</v>
      </c>
    </row>
    <row r="173" spans="1:15" ht="15" x14ac:dyDescent="0.3">
      <c r="A173" s="8">
        <v>172</v>
      </c>
      <c r="B173" s="9" t="s">
        <v>372</v>
      </c>
      <c r="C173" s="10" t="s">
        <v>373</v>
      </c>
      <c r="D173" s="10" t="s">
        <v>17</v>
      </c>
      <c r="E173" s="9" t="s">
        <v>183</v>
      </c>
      <c r="F173" s="11">
        <v>125.3832</v>
      </c>
      <c r="G173" s="11">
        <v>12.593299999999999</v>
      </c>
      <c r="H173" s="11">
        <v>2.0419520000000002</v>
      </c>
      <c r="I173" s="11">
        <v>-0.931342</v>
      </c>
      <c r="J173" s="11">
        <v>-0.84584999999999999</v>
      </c>
      <c r="K173" s="12">
        <v>298</v>
      </c>
      <c r="L173" s="12">
        <v>1000</v>
      </c>
      <c r="M173" s="10" t="s">
        <v>19</v>
      </c>
      <c r="N173" s="10" t="s">
        <v>20</v>
      </c>
      <c r="O173" s="13">
        <v>233.024</v>
      </c>
    </row>
    <row r="174" spans="1:15" ht="15" x14ac:dyDescent="0.3">
      <c r="A174" s="2">
        <v>173</v>
      </c>
      <c r="B174" s="3" t="s">
        <v>374</v>
      </c>
      <c r="C174" s="4" t="s">
        <v>375</v>
      </c>
      <c r="D174" s="4" t="s">
        <v>17</v>
      </c>
      <c r="E174" s="3" t="s">
        <v>183</v>
      </c>
      <c r="F174" s="5">
        <v>147.904</v>
      </c>
      <c r="G174" s="5">
        <v>1.05E-4</v>
      </c>
      <c r="H174" s="5">
        <v>-2.2000000000000001E-4</v>
      </c>
      <c r="I174" s="5">
        <v>1.4799999999999999E-4</v>
      </c>
      <c r="J174" s="5">
        <v>1.052271E-7</v>
      </c>
      <c r="K174" s="6">
        <v>298</v>
      </c>
      <c r="L174" s="6">
        <v>478.9</v>
      </c>
      <c r="M174" s="4" t="s">
        <v>19</v>
      </c>
      <c r="N174" s="4" t="s">
        <v>20</v>
      </c>
      <c r="O174" s="7">
        <v>270.15600000000001</v>
      </c>
    </row>
    <row r="175" spans="1:15" ht="15" x14ac:dyDescent="0.3">
      <c r="A175" s="8">
        <v>174</v>
      </c>
      <c r="B175" s="9" t="s">
        <v>376</v>
      </c>
      <c r="C175" s="10" t="s">
        <v>377</v>
      </c>
      <c r="D175" s="10" t="s">
        <v>17</v>
      </c>
      <c r="E175" s="9" t="s">
        <v>183</v>
      </c>
      <c r="F175" s="11">
        <v>147.904</v>
      </c>
      <c r="G175" s="11">
        <v>0</v>
      </c>
      <c r="H175" s="11">
        <v>0</v>
      </c>
      <c r="I175" s="11">
        <v>0</v>
      </c>
      <c r="J175" s="11">
        <v>0</v>
      </c>
      <c r="K175" s="12">
        <v>298</v>
      </c>
      <c r="L175" s="12">
        <v>489.7</v>
      </c>
      <c r="M175" s="10" t="s">
        <v>19</v>
      </c>
      <c r="N175" s="10" t="s">
        <v>20</v>
      </c>
      <c r="O175" s="13">
        <v>358.2</v>
      </c>
    </row>
    <row r="176" spans="1:15" ht="15" x14ac:dyDescent="0.3">
      <c r="A176" s="2">
        <v>175</v>
      </c>
      <c r="B176" s="3" t="s">
        <v>378</v>
      </c>
      <c r="C176" s="4" t="s">
        <v>379</v>
      </c>
      <c r="D176" s="4" t="s">
        <v>17</v>
      </c>
      <c r="E176" s="3" t="s">
        <v>183</v>
      </c>
      <c r="F176" s="5">
        <v>53.891590000000001</v>
      </c>
      <c r="G176" s="5">
        <v>343.90219999999999</v>
      </c>
      <c r="H176" s="5">
        <v>-242.47329999999999</v>
      </c>
      <c r="I176" s="5">
        <v>55.832129999999999</v>
      </c>
      <c r="J176" s="5">
        <v>1.71465</v>
      </c>
      <c r="K176" s="6">
        <v>298</v>
      </c>
      <c r="L176" s="6">
        <v>467</v>
      </c>
      <c r="M176" s="4" t="s">
        <v>19</v>
      </c>
      <c r="N176" s="4" t="s">
        <v>20</v>
      </c>
      <c r="O176" s="7">
        <v>273.2</v>
      </c>
    </row>
    <row r="177" spans="1:15" ht="15" x14ac:dyDescent="0.3">
      <c r="A177" s="8">
        <v>176</v>
      </c>
      <c r="B177" s="9" t="s">
        <v>380</v>
      </c>
      <c r="C177" s="10" t="s">
        <v>381</v>
      </c>
      <c r="D177" s="10" t="s">
        <v>17</v>
      </c>
      <c r="E177" s="9" t="s">
        <v>183</v>
      </c>
      <c r="F177" s="11">
        <v>125.536</v>
      </c>
      <c r="G177" s="11">
        <v>167.28200000000001</v>
      </c>
      <c r="H177" s="11">
        <v>0.13848199999999999</v>
      </c>
      <c r="I177" s="11">
        <v>-8.4928000000000003E-2</v>
      </c>
      <c r="J177" s="11">
        <v>-2.5599999999999999E-4</v>
      </c>
      <c r="K177" s="12">
        <v>298</v>
      </c>
      <c r="L177" s="12">
        <v>450</v>
      </c>
      <c r="M177" s="10" t="s">
        <v>19</v>
      </c>
      <c r="N177" s="10" t="s">
        <v>20</v>
      </c>
      <c r="O177" s="13">
        <v>396.54</v>
      </c>
    </row>
    <row r="178" spans="1:15" ht="15" x14ac:dyDescent="0.3">
      <c r="A178" s="2">
        <v>177</v>
      </c>
      <c r="B178" s="3" t="s">
        <v>382</v>
      </c>
      <c r="C178" s="4" t="s">
        <v>383</v>
      </c>
      <c r="D178" s="4" t="s">
        <v>17</v>
      </c>
      <c r="E178" s="3" t="s">
        <v>183</v>
      </c>
      <c r="F178" s="5">
        <v>114.2533</v>
      </c>
      <c r="G178" s="5">
        <v>-256.7867</v>
      </c>
      <c r="H178" s="5">
        <v>389.96339999999998</v>
      </c>
      <c r="I178" s="5">
        <v>0</v>
      </c>
      <c r="J178" s="5">
        <v>-1.8257559999999999</v>
      </c>
      <c r="K178" s="6">
        <v>298</v>
      </c>
      <c r="L178" s="6">
        <v>500</v>
      </c>
      <c r="M178" s="4" t="s">
        <v>19</v>
      </c>
      <c r="N178" s="4" t="s">
        <v>20</v>
      </c>
      <c r="O178" s="7">
        <v>47.008200000000002</v>
      </c>
    </row>
    <row r="179" spans="1:15" ht="15" x14ac:dyDescent="0.3">
      <c r="A179" s="8">
        <v>178</v>
      </c>
      <c r="B179" s="9" t="s">
        <v>384</v>
      </c>
      <c r="C179" s="10" t="s">
        <v>385</v>
      </c>
      <c r="D179" s="10" t="s">
        <v>17</v>
      </c>
      <c r="E179" s="9" t="s">
        <v>183</v>
      </c>
      <c r="F179" s="11">
        <v>57.522599999999997</v>
      </c>
      <c r="G179" s="11">
        <v>48.352699999999999</v>
      </c>
      <c r="H179" s="11">
        <v>-28.265999999999998</v>
      </c>
      <c r="I179" s="11">
        <v>5.5651409999999997</v>
      </c>
      <c r="J179" s="11">
        <v>-0.63525799999999999</v>
      </c>
      <c r="K179" s="12">
        <v>298</v>
      </c>
      <c r="L179" s="12">
        <v>688</v>
      </c>
      <c r="M179" s="10" t="s">
        <v>19</v>
      </c>
      <c r="N179" s="10" t="s">
        <v>20</v>
      </c>
      <c r="O179" s="13">
        <v>79.912199999999999</v>
      </c>
    </row>
    <row r="180" spans="1:15" ht="15" x14ac:dyDescent="0.3">
      <c r="A180" s="2">
        <v>179</v>
      </c>
      <c r="B180" s="3" t="s">
        <v>386</v>
      </c>
      <c r="C180" s="4" t="s">
        <v>387</v>
      </c>
      <c r="D180" s="4" t="s">
        <v>17</v>
      </c>
      <c r="E180" s="3" t="s">
        <v>183</v>
      </c>
      <c r="F180" s="5">
        <v>78.307329999999993</v>
      </c>
      <c r="G180" s="5">
        <v>2.4358879999999998</v>
      </c>
      <c r="H180" s="5">
        <v>6.858873</v>
      </c>
      <c r="I180" s="5">
        <v>-1.7289669999999999</v>
      </c>
      <c r="J180" s="5">
        <v>-0.72991099999999998</v>
      </c>
      <c r="K180" s="6">
        <v>298</v>
      </c>
      <c r="L180" s="6">
        <v>987</v>
      </c>
      <c r="M180" s="4" t="s">
        <v>19</v>
      </c>
      <c r="N180" s="4" t="s">
        <v>20</v>
      </c>
      <c r="O180" s="7">
        <v>95.204999999999998</v>
      </c>
    </row>
    <row r="181" spans="1:15" ht="15" x14ac:dyDescent="0.3">
      <c r="A181" s="8">
        <v>180</v>
      </c>
      <c r="B181" s="9" t="s">
        <v>388</v>
      </c>
      <c r="C181" s="10" t="s">
        <v>389</v>
      </c>
      <c r="D181" s="10" t="s">
        <v>17</v>
      </c>
      <c r="E181" s="9" t="s">
        <v>183</v>
      </c>
      <c r="F181" s="11">
        <v>87.295810000000003</v>
      </c>
      <c r="G181" s="11">
        <v>-35.076439999999998</v>
      </c>
      <c r="H181" s="11">
        <v>44.127809999999997</v>
      </c>
      <c r="I181" s="11">
        <v>-9.8480489999999996</v>
      </c>
      <c r="J181" s="11">
        <v>-0.67426399999999997</v>
      </c>
      <c r="K181" s="12">
        <v>298</v>
      </c>
      <c r="L181" s="12">
        <v>1045</v>
      </c>
      <c r="M181" s="10" t="s">
        <v>19</v>
      </c>
      <c r="N181" s="10" t="s">
        <v>20</v>
      </c>
      <c r="O181" s="13">
        <v>110.97799999999999</v>
      </c>
    </row>
    <row r="182" spans="1:15" ht="15" x14ac:dyDescent="0.3">
      <c r="A182" s="2">
        <v>181</v>
      </c>
      <c r="B182" s="3" t="s">
        <v>390</v>
      </c>
      <c r="C182" s="4" t="s">
        <v>391</v>
      </c>
      <c r="D182" s="4" t="s">
        <v>17</v>
      </c>
      <c r="E182" s="3" t="s">
        <v>183</v>
      </c>
      <c r="F182" s="5">
        <v>54.428820000000002</v>
      </c>
      <c r="G182" s="5">
        <v>113.7676</v>
      </c>
      <c r="H182" s="5">
        <v>-177.44970000000001</v>
      </c>
      <c r="I182" s="5">
        <v>115.0826</v>
      </c>
      <c r="J182" s="5">
        <v>-3.2859999999999999E-3</v>
      </c>
      <c r="K182" s="6">
        <v>298</v>
      </c>
      <c r="L182" s="6">
        <v>1000</v>
      </c>
      <c r="M182" s="4" t="s">
        <v>19</v>
      </c>
      <c r="N182" s="4" t="s">
        <v>20</v>
      </c>
      <c r="O182" s="7">
        <v>158.52000000000001</v>
      </c>
    </row>
    <row r="183" spans="1:15" ht="15" x14ac:dyDescent="0.3">
      <c r="A183" s="8">
        <v>182</v>
      </c>
      <c r="B183" s="9" t="s">
        <v>392</v>
      </c>
      <c r="C183" s="10" t="s">
        <v>393</v>
      </c>
      <c r="D183" s="10" t="s">
        <v>17</v>
      </c>
      <c r="E183" s="9" t="s">
        <v>183</v>
      </c>
      <c r="F183" s="11">
        <v>49.8765</v>
      </c>
      <c r="G183" s="11">
        <v>101.446</v>
      </c>
      <c r="H183" s="11">
        <v>-123.107</v>
      </c>
      <c r="I183" s="11">
        <v>60.944800000000001</v>
      </c>
      <c r="J183" s="11">
        <v>0.39097900000000002</v>
      </c>
      <c r="K183" s="12">
        <v>298</v>
      </c>
      <c r="L183" s="12">
        <v>1198</v>
      </c>
      <c r="M183" s="10" t="s">
        <v>19</v>
      </c>
      <c r="N183" s="10" t="s">
        <v>20</v>
      </c>
      <c r="O183" s="13">
        <v>208.23</v>
      </c>
    </row>
    <row r="184" spans="1:15" ht="15" x14ac:dyDescent="0.3">
      <c r="A184" s="2">
        <v>183</v>
      </c>
      <c r="B184" s="3" t="s">
        <v>394</v>
      </c>
      <c r="C184" s="4" t="s">
        <v>395</v>
      </c>
      <c r="D184" s="4" t="s">
        <v>17</v>
      </c>
      <c r="E184" s="3" t="s">
        <v>183</v>
      </c>
      <c r="F184" s="5">
        <v>94.968010000000007</v>
      </c>
      <c r="G184" s="5">
        <v>35.511279999999999</v>
      </c>
      <c r="H184" s="5">
        <v>-10.12649</v>
      </c>
      <c r="I184" s="5">
        <v>0.57855500000000004</v>
      </c>
      <c r="J184" s="5">
        <v>-0.241285</v>
      </c>
      <c r="K184" s="6">
        <v>298</v>
      </c>
      <c r="L184" s="6">
        <v>1500</v>
      </c>
      <c r="M184" s="4" t="s">
        <v>19</v>
      </c>
      <c r="N184" s="4" t="s">
        <v>20</v>
      </c>
      <c r="O184" s="7">
        <v>472.09</v>
      </c>
    </row>
    <row r="185" spans="1:15" ht="15" x14ac:dyDescent="0.3">
      <c r="A185" s="8">
        <v>184</v>
      </c>
      <c r="B185" s="9" t="s">
        <v>396</v>
      </c>
      <c r="C185" s="10" t="s">
        <v>397</v>
      </c>
      <c r="D185" s="10" t="s">
        <v>17</v>
      </c>
      <c r="E185" s="9" t="s">
        <v>183</v>
      </c>
      <c r="F185" s="11">
        <v>68.107150000000004</v>
      </c>
      <c r="G185" s="11">
        <v>25.82377</v>
      </c>
      <c r="H185" s="11">
        <v>-4.6400569999999997</v>
      </c>
      <c r="I185" s="11">
        <v>0.361514</v>
      </c>
      <c r="J185" s="11">
        <v>-0.13216700000000001</v>
      </c>
      <c r="K185" s="12">
        <v>298</v>
      </c>
      <c r="L185" s="12">
        <v>550</v>
      </c>
      <c r="M185" s="10" t="s">
        <v>19</v>
      </c>
      <c r="N185" s="10" t="s">
        <v>20</v>
      </c>
      <c r="O185" s="13">
        <v>271.49</v>
      </c>
    </row>
    <row r="186" spans="1:15" ht="15" x14ac:dyDescent="0.3">
      <c r="A186" s="2">
        <v>185</v>
      </c>
      <c r="B186" s="3" t="s">
        <v>398</v>
      </c>
      <c r="C186" s="4" t="s">
        <v>399</v>
      </c>
      <c r="D186" s="4" t="s">
        <v>17</v>
      </c>
      <c r="E186" s="3" t="s">
        <v>183</v>
      </c>
      <c r="F186" s="5">
        <v>146.44</v>
      </c>
      <c r="G186" s="5">
        <v>0</v>
      </c>
      <c r="H186" s="5">
        <v>0</v>
      </c>
      <c r="I186" s="5">
        <v>0</v>
      </c>
      <c r="J186" s="5">
        <v>0</v>
      </c>
      <c r="K186" s="6">
        <v>298</v>
      </c>
      <c r="L186" s="6">
        <v>800</v>
      </c>
      <c r="M186" s="4" t="s">
        <v>19</v>
      </c>
      <c r="N186" s="4" t="s">
        <v>20</v>
      </c>
      <c r="O186" s="7">
        <v>347.69</v>
      </c>
    </row>
    <row r="187" spans="1:15" ht="15" x14ac:dyDescent="0.3">
      <c r="A187" s="8">
        <v>186</v>
      </c>
      <c r="B187" s="9" t="s">
        <v>400</v>
      </c>
      <c r="C187" s="10" t="s">
        <v>401</v>
      </c>
      <c r="D187" s="10" t="s">
        <v>17</v>
      </c>
      <c r="E187" s="9" t="s">
        <v>236</v>
      </c>
      <c r="F187" s="11">
        <v>15.967779999999999</v>
      </c>
      <c r="G187" s="11">
        <v>210.33179999999999</v>
      </c>
      <c r="H187" s="11">
        <v>-189.4657</v>
      </c>
      <c r="I187" s="11">
        <v>62.202269999999999</v>
      </c>
      <c r="J187" s="11">
        <v>-0.21731700000000001</v>
      </c>
      <c r="K187" s="12">
        <v>298</v>
      </c>
      <c r="L187" s="12">
        <v>1000</v>
      </c>
      <c r="M187" s="10" t="s">
        <v>19</v>
      </c>
      <c r="N187" s="10" t="s">
        <v>20</v>
      </c>
      <c r="O187" s="13">
        <v>88.004000000000005</v>
      </c>
    </row>
    <row r="188" spans="1:15" ht="15" x14ac:dyDescent="0.3">
      <c r="A188" s="2">
        <v>187</v>
      </c>
      <c r="B188" s="3" t="s">
        <v>402</v>
      </c>
      <c r="C188" s="4" t="s">
        <v>403</v>
      </c>
      <c r="D188" s="4" t="s">
        <v>17</v>
      </c>
      <c r="E188" s="3" t="s">
        <v>236</v>
      </c>
      <c r="F188" s="5">
        <v>69.747280000000003</v>
      </c>
      <c r="G188" s="5">
        <v>225.35990000000001</v>
      </c>
      <c r="H188" s="5">
        <v>-174.1628</v>
      </c>
      <c r="I188" s="5">
        <v>47.146569999999997</v>
      </c>
      <c r="J188" s="5">
        <v>-1.4556770000000001</v>
      </c>
      <c r="K188" s="6">
        <v>298</v>
      </c>
      <c r="L188" s="6">
        <v>1400</v>
      </c>
      <c r="M188" s="4" t="s">
        <v>19</v>
      </c>
      <c r="N188" s="4" t="s">
        <v>20</v>
      </c>
      <c r="O188" s="7">
        <v>138.01</v>
      </c>
    </row>
    <row r="189" spans="1:15" ht="15" x14ac:dyDescent="0.3">
      <c r="A189" s="8">
        <v>188</v>
      </c>
      <c r="B189" s="9" t="s">
        <v>404</v>
      </c>
      <c r="C189" s="10" t="s">
        <v>405</v>
      </c>
      <c r="D189" s="10" t="s">
        <v>17</v>
      </c>
      <c r="E189" s="9" t="s">
        <v>183</v>
      </c>
      <c r="F189" s="11">
        <v>39.663690000000003</v>
      </c>
      <c r="G189" s="11">
        <v>110.8434</v>
      </c>
      <c r="H189" s="11">
        <v>-108.4355</v>
      </c>
      <c r="I189" s="11">
        <v>37.882860000000001</v>
      </c>
      <c r="J189" s="11">
        <v>-0.48013099999999997</v>
      </c>
      <c r="K189" s="12">
        <v>298</v>
      </c>
      <c r="L189" s="12">
        <v>1000</v>
      </c>
      <c r="M189" s="10" t="s">
        <v>19</v>
      </c>
      <c r="N189" s="10" t="s">
        <v>20</v>
      </c>
      <c r="O189" s="13">
        <v>87.97</v>
      </c>
    </row>
    <row r="190" spans="1:15" ht="15" x14ac:dyDescent="0.3">
      <c r="A190" s="2">
        <v>189</v>
      </c>
      <c r="B190" s="3" t="s">
        <v>406</v>
      </c>
      <c r="C190" s="4" t="s">
        <v>407</v>
      </c>
      <c r="D190" s="4" t="s">
        <v>17</v>
      </c>
      <c r="E190" s="3" t="s">
        <v>183</v>
      </c>
      <c r="F190" s="5">
        <v>81.947819999999993</v>
      </c>
      <c r="G190" s="5">
        <v>1.0196369999999999</v>
      </c>
      <c r="H190" s="5">
        <v>-0.27607599999999999</v>
      </c>
      <c r="I190" s="5">
        <v>2.3549E-2</v>
      </c>
      <c r="J190" s="5">
        <v>-0.96422399999999997</v>
      </c>
      <c r="K190" s="6">
        <v>298</v>
      </c>
      <c r="L190" s="6">
        <v>6000</v>
      </c>
      <c r="M190" s="4" t="s">
        <v>19</v>
      </c>
      <c r="N190" s="4" t="s">
        <v>20</v>
      </c>
      <c r="O190" s="7">
        <v>137.33000000000001</v>
      </c>
    </row>
    <row r="191" spans="1:15" ht="15" x14ac:dyDescent="0.3">
      <c r="A191" s="8">
        <v>190</v>
      </c>
      <c r="B191" s="9" t="s">
        <v>408</v>
      </c>
      <c r="C191" s="10" t="s">
        <v>409</v>
      </c>
      <c r="D191" s="10" t="s">
        <v>17</v>
      </c>
      <c r="E191" s="9" t="s">
        <v>183</v>
      </c>
      <c r="F191" s="11">
        <v>130.8939</v>
      </c>
      <c r="G191" s="11">
        <v>1.819585</v>
      </c>
      <c r="H191" s="11">
        <v>-0.49241499999999999</v>
      </c>
      <c r="I191" s="11">
        <v>4.1986000000000002E-2</v>
      </c>
      <c r="J191" s="11">
        <v>-1.7652350000000001</v>
      </c>
      <c r="K191" s="12">
        <v>298</v>
      </c>
      <c r="L191" s="12">
        <v>6000</v>
      </c>
      <c r="M191" s="10" t="s">
        <v>19</v>
      </c>
      <c r="N191" s="10" t="s">
        <v>20</v>
      </c>
      <c r="O191" s="13">
        <v>208.24</v>
      </c>
    </row>
    <row r="192" spans="1:15" ht="15" x14ac:dyDescent="0.3">
      <c r="A192" s="2">
        <v>191</v>
      </c>
      <c r="B192" s="3" t="s">
        <v>410</v>
      </c>
      <c r="C192" s="4" t="s">
        <v>411</v>
      </c>
      <c r="D192" s="4" t="s">
        <v>17</v>
      </c>
      <c r="E192" s="3" t="s">
        <v>236</v>
      </c>
      <c r="F192" s="5">
        <v>75.07602</v>
      </c>
      <c r="G192" s="5">
        <v>77.365089999999995</v>
      </c>
      <c r="H192" s="5">
        <v>-71.304559999999995</v>
      </c>
      <c r="I192" s="5">
        <v>23.867460000000001</v>
      </c>
      <c r="J192" s="5">
        <v>-0.66908900000000004</v>
      </c>
      <c r="K192" s="6">
        <v>298</v>
      </c>
      <c r="L192" s="6">
        <v>1000</v>
      </c>
      <c r="M192" s="4" t="s">
        <v>19</v>
      </c>
      <c r="N192" s="4" t="s">
        <v>20</v>
      </c>
      <c r="O192" s="7">
        <v>153.33000000000001</v>
      </c>
    </row>
    <row r="193" spans="1:15" ht="15" x14ac:dyDescent="0.3">
      <c r="A193" s="8">
        <v>192</v>
      </c>
      <c r="B193" s="9" t="s">
        <v>412</v>
      </c>
      <c r="C193" s="10" t="s">
        <v>413</v>
      </c>
      <c r="D193" s="10" t="s">
        <v>17</v>
      </c>
      <c r="E193" s="9" t="s">
        <v>183</v>
      </c>
      <c r="F193" s="11">
        <v>59.733710000000002</v>
      </c>
      <c r="G193" s="11">
        <v>102.7323</v>
      </c>
      <c r="H193" s="11">
        <v>-85.975340000000003</v>
      </c>
      <c r="I193" s="11">
        <v>26.165400000000002</v>
      </c>
      <c r="J193" s="11">
        <v>-0.56273099999999998</v>
      </c>
      <c r="K193" s="12">
        <v>298</v>
      </c>
      <c r="L193" s="12">
        <v>1100</v>
      </c>
      <c r="M193" s="10" t="s">
        <v>19</v>
      </c>
      <c r="N193" s="10" t="s">
        <v>20</v>
      </c>
      <c r="O193" s="13">
        <v>134.96</v>
      </c>
    </row>
    <row r="194" spans="1:15" ht="15" x14ac:dyDescent="0.3">
      <c r="A194" s="2">
        <v>193</v>
      </c>
      <c r="B194" s="3" t="s">
        <v>414</v>
      </c>
      <c r="C194" s="4" t="s">
        <v>415</v>
      </c>
      <c r="D194" s="4" t="s">
        <v>17</v>
      </c>
      <c r="E194" s="3" t="s">
        <v>183</v>
      </c>
      <c r="F194" s="5">
        <v>29.378959999999999</v>
      </c>
      <c r="G194" s="5">
        <v>261.1678</v>
      </c>
      <c r="H194" s="5">
        <v>-345.02179999999998</v>
      </c>
      <c r="I194" s="5">
        <v>168.137</v>
      </c>
      <c r="J194" s="5">
        <v>-0.30532100000000001</v>
      </c>
      <c r="K194" s="6">
        <v>298</v>
      </c>
      <c r="L194" s="6">
        <v>600</v>
      </c>
      <c r="M194" s="4" t="s">
        <v>19</v>
      </c>
      <c r="N194" s="4" t="s">
        <v>20</v>
      </c>
      <c r="O194" s="7">
        <v>108.06</v>
      </c>
    </row>
    <row r="195" spans="1:15" ht="15" x14ac:dyDescent="0.3">
      <c r="A195" s="8">
        <v>194</v>
      </c>
      <c r="B195" s="9" t="s">
        <v>416</v>
      </c>
      <c r="C195" s="10" t="s">
        <v>417</v>
      </c>
      <c r="D195" s="10" t="s">
        <v>17</v>
      </c>
      <c r="E195" s="9" t="s">
        <v>236</v>
      </c>
      <c r="F195" s="11">
        <v>117.9344</v>
      </c>
      <c r="G195" s="11">
        <v>173.94229999999999</v>
      </c>
      <c r="H195" s="11">
        <v>9.6299999999999997E-3</v>
      </c>
      <c r="I195" s="11">
        <v>-4.071E-3</v>
      </c>
      <c r="J195" s="11">
        <v>-7.1000000000000005E-5</v>
      </c>
      <c r="K195" s="12">
        <v>298</v>
      </c>
      <c r="L195" s="12">
        <v>1000</v>
      </c>
      <c r="M195" s="10" t="s">
        <v>19</v>
      </c>
      <c r="N195" s="10" t="s">
        <v>20</v>
      </c>
      <c r="O195" s="13">
        <v>209.94</v>
      </c>
    </row>
    <row r="196" spans="1:15" ht="15" x14ac:dyDescent="0.3">
      <c r="A196" s="2">
        <v>195</v>
      </c>
      <c r="B196" s="3" t="s">
        <v>418</v>
      </c>
      <c r="C196" s="4" t="s">
        <v>419</v>
      </c>
      <c r="D196" s="4" t="s">
        <v>17</v>
      </c>
      <c r="E196" s="3" t="s">
        <v>183</v>
      </c>
      <c r="F196" s="5">
        <v>169.452</v>
      </c>
      <c r="G196" s="5">
        <v>4.6954109999999997E-7</v>
      </c>
      <c r="H196" s="5">
        <v>-5.8984360000000003E-7</v>
      </c>
      <c r="I196" s="5">
        <v>2.4914220000000001E-7</v>
      </c>
      <c r="J196" s="5">
        <v>3.3429119999999998E-9</v>
      </c>
      <c r="K196" s="6">
        <v>298</v>
      </c>
      <c r="L196" s="6">
        <v>1000</v>
      </c>
      <c r="M196" s="4" t="s">
        <v>19</v>
      </c>
      <c r="N196" s="4" t="s">
        <v>20</v>
      </c>
      <c r="O196" s="7">
        <v>297.83</v>
      </c>
    </row>
    <row r="197" spans="1:15" ht="15" x14ac:dyDescent="0.3">
      <c r="A197" s="8">
        <v>196</v>
      </c>
      <c r="B197" s="9" t="s">
        <v>420</v>
      </c>
      <c r="C197" s="10" t="s">
        <v>6</v>
      </c>
      <c r="D197" s="10" t="s">
        <v>17</v>
      </c>
      <c r="E197" s="9" t="s">
        <v>119</v>
      </c>
      <c r="F197" s="11">
        <v>10.185739999999999</v>
      </c>
      <c r="G197" s="11">
        <v>29.244150000000001</v>
      </c>
      <c r="H197" s="11">
        <v>-18.021370000000001</v>
      </c>
      <c r="I197" s="11">
        <v>4.212326</v>
      </c>
      <c r="J197" s="11">
        <v>-0.55099900000000002</v>
      </c>
      <c r="K197" s="12">
        <v>298</v>
      </c>
      <c r="L197" s="12">
        <v>1800</v>
      </c>
      <c r="M197" s="10" t="s">
        <v>19</v>
      </c>
      <c r="N197" s="10" t="s">
        <v>20</v>
      </c>
      <c r="O197" s="13">
        <v>10.81</v>
      </c>
    </row>
    <row r="198" spans="1:15" ht="15" x14ac:dyDescent="0.3">
      <c r="A198" s="2">
        <v>197</v>
      </c>
      <c r="B198" s="3" t="s">
        <v>421</v>
      </c>
      <c r="C198" s="4" t="s">
        <v>422</v>
      </c>
      <c r="D198" s="4" t="s">
        <v>17</v>
      </c>
      <c r="E198" s="3" t="s">
        <v>119</v>
      </c>
      <c r="F198" s="5">
        <v>24.322140000000001</v>
      </c>
      <c r="G198" s="5">
        <v>-1.8098069999999999</v>
      </c>
      <c r="H198" s="5">
        <v>7.4864309999999996</v>
      </c>
      <c r="I198" s="5">
        <v>3.1479499999999998</v>
      </c>
      <c r="J198" s="5">
        <v>-0.296815</v>
      </c>
      <c r="K198" s="6">
        <v>298</v>
      </c>
      <c r="L198" s="6">
        <v>317.3</v>
      </c>
      <c r="M198" s="4" t="s">
        <v>19</v>
      </c>
      <c r="N198" s="4" t="s">
        <v>20</v>
      </c>
      <c r="O198" s="7">
        <v>123.896</v>
      </c>
    </row>
    <row r="199" spans="1:15" ht="15" x14ac:dyDescent="0.3">
      <c r="A199" s="8">
        <v>198</v>
      </c>
      <c r="B199" s="9" t="s">
        <v>423</v>
      </c>
      <c r="C199" s="10" t="s">
        <v>424</v>
      </c>
      <c r="D199" s="10" t="s">
        <v>17</v>
      </c>
      <c r="E199" s="9" t="s">
        <v>119</v>
      </c>
      <c r="F199" s="11">
        <v>21.21978</v>
      </c>
      <c r="G199" s="11">
        <v>3.8658579999999998</v>
      </c>
      <c r="H199" s="11">
        <v>22.274609999999999</v>
      </c>
      <c r="I199" s="11">
        <v>-10.31908</v>
      </c>
      <c r="J199" s="11">
        <v>-0.122518</v>
      </c>
      <c r="K199" s="12">
        <v>298</v>
      </c>
      <c r="L199" s="12">
        <v>388.36</v>
      </c>
      <c r="M199" s="10" t="s">
        <v>19</v>
      </c>
      <c r="N199" s="10" t="s">
        <v>20</v>
      </c>
      <c r="O199" s="13">
        <v>256.52</v>
      </c>
    </row>
    <row r="200" spans="1:15" ht="15" x14ac:dyDescent="0.3">
      <c r="A200" s="2">
        <v>199</v>
      </c>
      <c r="B200" s="3" t="s">
        <v>425</v>
      </c>
      <c r="C200" s="4" t="s">
        <v>426</v>
      </c>
      <c r="D200" s="4" t="s">
        <v>17</v>
      </c>
      <c r="E200" s="3" t="s">
        <v>183</v>
      </c>
      <c r="F200" s="5">
        <v>-195.76349999999999</v>
      </c>
      <c r="G200" s="5">
        <v>918.89840000000004</v>
      </c>
      <c r="H200" s="5">
        <v>-1079.242</v>
      </c>
      <c r="I200" s="5">
        <v>534.32190000000003</v>
      </c>
      <c r="J200" s="5">
        <v>5.1564030000000001</v>
      </c>
      <c r="K200" s="6">
        <v>298</v>
      </c>
      <c r="L200" s="6">
        <v>386.75</v>
      </c>
      <c r="M200" s="4" t="s">
        <v>19</v>
      </c>
      <c r="N200" s="4" t="s">
        <v>20</v>
      </c>
      <c r="O200" s="7">
        <v>253.8</v>
      </c>
    </row>
    <row r="201" spans="1:15" ht="15" x14ac:dyDescent="0.3">
      <c r="A201" s="8">
        <v>200</v>
      </c>
      <c r="B201" s="9" t="s">
        <v>427</v>
      </c>
      <c r="C201" s="10" t="s">
        <v>428</v>
      </c>
      <c r="D201" s="10" t="s">
        <v>17</v>
      </c>
      <c r="E201" s="9" t="s">
        <v>183</v>
      </c>
      <c r="F201" s="11">
        <v>38.527230000000003</v>
      </c>
      <c r="G201" s="11">
        <v>-1.9768349999999999</v>
      </c>
      <c r="H201" s="11">
        <v>1.5261070000000001</v>
      </c>
      <c r="I201" s="11">
        <v>-0.19839799999999999</v>
      </c>
      <c r="J201" s="11">
        <v>-0.18581500000000001</v>
      </c>
      <c r="K201" s="12">
        <v>332.50299999999999</v>
      </c>
      <c r="L201" s="12">
        <v>3400</v>
      </c>
      <c r="M201" s="10" t="s">
        <v>19</v>
      </c>
      <c r="N201" s="10" t="s">
        <v>20</v>
      </c>
      <c r="O201" s="13">
        <v>159.80799999999999</v>
      </c>
    </row>
  </sheetData>
  <autoFilter ref="A1:O201" xr:uid="{F1E7260D-958B-4DF3-A7E5-0949860759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03EB-B7BD-455E-93A1-B051BA7F7351}">
  <dimension ref="A1:P201"/>
  <sheetViews>
    <sheetView workbookViewId="0">
      <pane xSplit="4" ySplit="1" topLeftCell="E2" activePane="bottomRight" state="frozenSplit"/>
      <selection pane="bottomLeft" activeCell="A2" sqref="A2"/>
      <selection pane="topRight" activeCell="E1" sqref="E1"/>
      <selection pane="bottomRight"/>
    </sheetView>
  </sheetViews>
  <sheetFormatPr defaultRowHeight="14.4" x14ac:dyDescent="0.3"/>
  <cols>
    <col min="1" max="1" width="12.77734375" customWidth="1"/>
    <col min="2" max="2" width="43.6640625" customWidth="1"/>
    <col min="3" max="3" width="12.77734375" customWidth="1"/>
    <col min="4" max="4" width="25.33203125" customWidth="1"/>
    <col min="5" max="6" width="12.77734375" customWidth="1"/>
    <col min="7" max="7" width="28.109375" customWidth="1"/>
    <col min="8" max="12" width="25.21875" customWidth="1"/>
    <col min="13" max="16" width="26.33203125" customWidth="1"/>
  </cols>
  <sheetData>
    <row r="1" spans="1:16" ht="28.05" customHeight="1" x14ac:dyDescent="0.3">
      <c r="A1" s="14" t="s">
        <v>0</v>
      </c>
      <c r="B1" s="14" t="s">
        <v>1</v>
      </c>
      <c r="C1" s="14" t="s">
        <v>2</v>
      </c>
      <c r="D1" s="14" t="s">
        <v>4</v>
      </c>
      <c r="E1" s="14" t="s">
        <v>429</v>
      </c>
      <c r="F1" s="14" t="s">
        <v>430</v>
      </c>
      <c r="G1" s="14" t="s">
        <v>431</v>
      </c>
      <c r="H1" s="14" t="s">
        <v>432</v>
      </c>
      <c r="I1" s="14" t="s">
        <v>433</v>
      </c>
      <c r="J1" s="14" t="s">
        <v>434</v>
      </c>
      <c r="K1" s="14" t="s">
        <v>435</v>
      </c>
      <c r="L1" s="14" t="s">
        <v>436</v>
      </c>
      <c r="M1" s="14" t="s">
        <v>437</v>
      </c>
      <c r="N1" s="14" t="s">
        <v>438</v>
      </c>
      <c r="O1" s="14" t="s">
        <v>439</v>
      </c>
      <c r="P1" s="14" t="s">
        <v>440</v>
      </c>
    </row>
    <row r="2" spans="1:16" ht="15" x14ac:dyDescent="0.3">
      <c r="A2" s="2">
        <f>Cp_Database_200!A2</f>
        <v>1</v>
      </c>
      <c r="B2" s="3" t="str">
        <f>Cp_Database_200!B2</f>
        <v>Aluminium</v>
      </c>
      <c r="C2" s="4" t="str">
        <f>Cp_Database_200!C2</f>
        <v>Al</v>
      </c>
      <c r="D2" s="3" t="str">
        <f>Cp_Database_200!E2</f>
        <v>Metal</v>
      </c>
      <c r="E2" s="6">
        <f>Cp_Database_200!K2</f>
        <v>298</v>
      </c>
      <c r="F2" s="6">
        <f>Cp_Database_200!L2</f>
        <v>933</v>
      </c>
      <c r="G2" s="15">
        <f>IF(AND(298.15&gt;=$E2, 298.15&lt;=$F2), ROUND(Cp_Database_200!$F2 + Cp_Database_200!$G2*0.29815 + Cp_Database_200!$H2*0.08889342 + Cp_Database_200!$I2*0.02650357 + Cp_Database_200!$J2/0.08889342, 2), "-")</f>
        <v>24.21</v>
      </c>
      <c r="H2" s="15">
        <f>IF(AND(400&gt;=$E2, 400&lt;=$F2), ROUND(Cp_Database_200!$F2 + Cp_Database_200!$G2*0.4 + Cp_Database_200!$H2*0.16 + Cp_Database_200!$I2*0.064 + Cp_Database_200!$J2/0.16, 2), "-")</f>
        <v>25.78</v>
      </c>
      <c r="I2" s="15">
        <f>IF(AND(500&gt;=$E2, 500&lt;=$F2), ROUND(Cp_Database_200!$F2 + Cp_Database_200!$G2*0.5 + Cp_Database_200!$H2*0.25 + Cp_Database_200!$I2*0.125 + Cp_Database_200!$J2/0.25, 2), "-")</f>
        <v>26.84</v>
      </c>
      <c r="J2" s="15">
        <f>IF(AND(600&gt;=$E2, 600&lt;=$F2), ROUND(Cp_Database_200!$F2 + Cp_Database_200!$G2*0.6 + Cp_Database_200!$H2*0.36 + Cp_Database_200!$I2*0.216 + Cp_Database_200!$J2/0.36, 2), "-")</f>
        <v>27.89</v>
      </c>
      <c r="K2" s="15">
        <f>IF(AND(700&gt;=$E2, 700&lt;=$F2), ROUND(Cp_Database_200!$F2 + Cp_Database_200!$G2*0.7 + Cp_Database_200!$H2*0.49 + Cp_Database_200!$I2*0.343 + Cp_Database_200!$J2/0.49, 2), "-")</f>
        <v>29.1</v>
      </c>
      <c r="L2" s="15">
        <f>IF(AND(800&gt;=$E2, 800&lt;=$F2), ROUND(Cp_Database_200!$F2 + Cp_Database_200!$G2*0.8 + Cp_Database_200!$H2*0.64 + Cp_Database_200!$I2*0.512 + Cp_Database_200!$J2/0.64, 2), "-")</f>
        <v>30.56</v>
      </c>
      <c r="M2" s="15" t="str">
        <f>IF(AND(1000&gt;=$E2, 1000&lt;=$F2), ROUND(Cp_Database_200!$F2 + Cp_Database_200!$G2*1 + Cp_Database_200!$H2*1 + Cp_Database_200!$I2*1 + Cp_Database_200!$J2/1, 2), "-")</f>
        <v>-</v>
      </c>
      <c r="N2" s="15" t="str">
        <f>IF(AND(1200&gt;=$E2, 1200&lt;=$F2), ROUND(Cp_Database_200!$F2 + Cp_Database_200!$G2*1.2 + Cp_Database_200!$H2*1.44 + Cp_Database_200!$I2*1.728 + Cp_Database_200!$J2/1.44, 2), "-")</f>
        <v>-</v>
      </c>
      <c r="O2" s="15" t="str">
        <f>IF(AND(1500&gt;=$E2, 1500&lt;=$F2), ROUND(Cp_Database_200!$F2 + Cp_Database_200!$G2*1.5 + Cp_Database_200!$H2*2.25 + Cp_Database_200!$I2*3.375 + Cp_Database_200!$J2/2.25, 2), "-")</f>
        <v>-</v>
      </c>
      <c r="P2" s="15" t="str">
        <f>IF(AND(2000&gt;=$E2, 2000&lt;=$F2), ROUND(Cp_Database_200!$F2 + Cp_Database_200!$G2*2 + Cp_Database_200!$H2*4 + Cp_Database_200!$I2*8 + Cp_Database_200!$J2/4, 2), "-")</f>
        <v>-</v>
      </c>
    </row>
    <row r="3" spans="1:16" ht="15" x14ac:dyDescent="0.3">
      <c r="A3" s="8">
        <f>Cp_Database_200!A3</f>
        <v>2</v>
      </c>
      <c r="B3" s="9" t="str">
        <f>Cp_Database_200!B3</f>
        <v>Copper</v>
      </c>
      <c r="C3" s="10" t="str">
        <f>Cp_Database_200!C3</f>
        <v>Cu</v>
      </c>
      <c r="D3" s="9" t="str">
        <f>Cp_Database_200!E3</f>
        <v>Metal</v>
      </c>
      <c r="E3" s="12">
        <f>Cp_Database_200!K3</f>
        <v>298</v>
      </c>
      <c r="F3" s="12">
        <f>Cp_Database_200!L3</f>
        <v>1358</v>
      </c>
      <c r="G3" s="16">
        <f>IF(AND(298.15&gt;=$E3, 298.15&lt;=$F3), ROUND(Cp_Database_200!$F3 + Cp_Database_200!$G3*0.29815 + Cp_Database_200!$H3*0.08889342 + Cp_Database_200!$I3*0.02650357 + Cp_Database_200!$J3/0.08889342, 2), "-")</f>
        <v>24.47</v>
      </c>
      <c r="H3" s="16">
        <f>IF(AND(400&gt;=$E3, 400&lt;=$F3), ROUND(Cp_Database_200!$F3 + Cp_Database_200!$G3*0.4 + Cp_Database_200!$H3*0.16 + Cp_Database_200!$I3*0.064 + Cp_Database_200!$J3/0.16, 2), "-")</f>
        <v>25.29</v>
      </c>
      <c r="I3" s="16">
        <f>IF(AND(500&gt;=$E3, 500&lt;=$F3), ROUND(Cp_Database_200!$F3 + Cp_Database_200!$G3*0.5 + Cp_Database_200!$H3*0.25 + Cp_Database_200!$I3*0.125 + Cp_Database_200!$J3/0.25, 2), "-")</f>
        <v>25.99</v>
      </c>
      <c r="J3" s="16">
        <f>IF(AND(600&gt;=$E3, 600&lt;=$F3), ROUND(Cp_Database_200!$F3 + Cp_Database_200!$G3*0.6 + Cp_Database_200!$H3*0.36 + Cp_Database_200!$I3*0.216 + Cp_Database_200!$J3/0.36, 2), "-")</f>
        <v>26.55</v>
      </c>
      <c r="K3" s="16">
        <f>IF(AND(700&gt;=$E3, 700&lt;=$F3), ROUND(Cp_Database_200!$F3 + Cp_Database_200!$G3*0.7 + Cp_Database_200!$H3*0.49 + Cp_Database_200!$I3*0.343 + Cp_Database_200!$J3/0.49, 2), "-")</f>
        <v>27.02</v>
      </c>
      <c r="L3" s="16">
        <f>IF(AND(800&gt;=$E3, 800&lt;=$F3), ROUND(Cp_Database_200!$F3 + Cp_Database_200!$G3*0.8 + Cp_Database_200!$H3*0.64 + Cp_Database_200!$I3*0.512 + Cp_Database_200!$J3/0.64, 2), "-")</f>
        <v>27.47</v>
      </c>
      <c r="M3" s="16">
        <f>IF(AND(1000&gt;=$E3, 1000&lt;=$F3), ROUND(Cp_Database_200!$F3 + Cp_Database_200!$G3*1 + Cp_Database_200!$H3*1 + Cp_Database_200!$I3*1 + Cp_Database_200!$J3/1, 2), "-")</f>
        <v>28.62</v>
      </c>
      <c r="N3" s="16">
        <f>IF(AND(1200&gt;=$E3, 1200&lt;=$F3), ROUND(Cp_Database_200!$F3 + Cp_Database_200!$G3*1.2 + Cp_Database_200!$H3*1.44 + Cp_Database_200!$I3*1.728 + Cp_Database_200!$J3/1.44, 2), "-")</f>
        <v>30.64</v>
      </c>
      <c r="O3" s="16" t="str">
        <f>IF(AND(1500&gt;=$E3, 1500&lt;=$F3), ROUND(Cp_Database_200!$F3 + Cp_Database_200!$G3*1.5 + Cp_Database_200!$H3*2.25 + Cp_Database_200!$I3*3.375 + Cp_Database_200!$J3/2.25, 2), "-")</f>
        <v>-</v>
      </c>
      <c r="P3" s="16" t="str">
        <f>IF(AND(2000&gt;=$E3, 2000&lt;=$F3), ROUND(Cp_Database_200!$F3 + Cp_Database_200!$G3*2 + Cp_Database_200!$H3*4 + Cp_Database_200!$I3*8 + Cp_Database_200!$J3/4, 2), "-")</f>
        <v>-</v>
      </c>
    </row>
    <row r="4" spans="1:16" ht="15" x14ac:dyDescent="0.3">
      <c r="A4" s="2">
        <f>Cp_Database_200!A4</f>
        <v>3</v>
      </c>
      <c r="B4" s="3" t="str">
        <f>Cp_Database_200!B4</f>
        <v>Iron</v>
      </c>
      <c r="C4" s="4" t="str">
        <f>Cp_Database_200!C4</f>
        <v>Fe</v>
      </c>
      <c r="D4" s="3" t="str">
        <f>Cp_Database_200!E4</f>
        <v>Metal</v>
      </c>
      <c r="E4" s="6">
        <f>Cp_Database_200!K4</f>
        <v>298</v>
      </c>
      <c r="F4" s="6">
        <f>Cp_Database_200!L4</f>
        <v>700</v>
      </c>
      <c r="G4" s="15">
        <f>IF(AND(298.15&gt;=$E4, 298.15&lt;=$F4), ROUND(Cp_Database_200!$F4 + Cp_Database_200!$G4*0.29815 + Cp_Database_200!$H4*0.08889342 + Cp_Database_200!$I4*0.02650357 + Cp_Database_200!$J4/0.08889342, 2), "-")</f>
        <v>25.1</v>
      </c>
      <c r="H4" s="15">
        <f>IF(AND(400&gt;=$E4, 400&lt;=$F4), ROUND(Cp_Database_200!$F4 + Cp_Database_200!$G4*0.4 + Cp_Database_200!$H4*0.16 + Cp_Database_200!$I4*0.064 + Cp_Database_200!$J4/0.16, 2), "-")</f>
        <v>27.4</v>
      </c>
      <c r="I4" s="15">
        <f>IF(AND(500&gt;=$E4, 500&lt;=$F4), ROUND(Cp_Database_200!$F4 + Cp_Database_200!$G4*0.5 + Cp_Database_200!$H4*0.25 + Cp_Database_200!$I4*0.125 + Cp_Database_200!$J4/0.25, 2), "-")</f>
        <v>29.68</v>
      </c>
      <c r="J4" s="15">
        <f>IF(AND(600&gt;=$E4, 600&lt;=$F4), ROUND(Cp_Database_200!$F4 + Cp_Database_200!$G4*0.6 + Cp_Database_200!$H4*0.36 + Cp_Database_200!$I4*0.216 + Cp_Database_200!$J4/0.36, 2), "-")</f>
        <v>32.06</v>
      </c>
      <c r="K4" s="15">
        <f>IF(AND(700&gt;=$E4, 700&lt;=$F4), ROUND(Cp_Database_200!$F4 + Cp_Database_200!$G4*0.7 + Cp_Database_200!$H4*0.49 + Cp_Database_200!$I4*0.343 + Cp_Database_200!$J4/0.49, 2), "-")</f>
        <v>34.6</v>
      </c>
      <c r="L4" s="15" t="str">
        <f>IF(AND(800&gt;=$E4, 800&lt;=$F4), ROUND(Cp_Database_200!$F4 + Cp_Database_200!$G4*0.8 + Cp_Database_200!$H4*0.64 + Cp_Database_200!$I4*0.512 + Cp_Database_200!$J4/0.64, 2), "-")</f>
        <v>-</v>
      </c>
      <c r="M4" s="15" t="str">
        <f>IF(AND(1000&gt;=$E4, 1000&lt;=$F4), ROUND(Cp_Database_200!$F4 + Cp_Database_200!$G4*1 + Cp_Database_200!$H4*1 + Cp_Database_200!$I4*1 + Cp_Database_200!$J4/1, 2), "-")</f>
        <v>-</v>
      </c>
      <c r="N4" s="15" t="str">
        <f>IF(AND(1200&gt;=$E4, 1200&lt;=$F4), ROUND(Cp_Database_200!$F4 + Cp_Database_200!$G4*1.2 + Cp_Database_200!$H4*1.44 + Cp_Database_200!$I4*1.728 + Cp_Database_200!$J4/1.44, 2), "-")</f>
        <v>-</v>
      </c>
      <c r="O4" s="15" t="str">
        <f>IF(AND(1500&gt;=$E4, 1500&lt;=$F4), ROUND(Cp_Database_200!$F4 + Cp_Database_200!$G4*1.5 + Cp_Database_200!$H4*2.25 + Cp_Database_200!$I4*3.375 + Cp_Database_200!$J4/2.25, 2), "-")</f>
        <v>-</v>
      </c>
      <c r="P4" s="15" t="str">
        <f>IF(AND(2000&gt;=$E4, 2000&lt;=$F4), ROUND(Cp_Database_200!$F4 + Cp_Database_200!$G4*2 + Cp_Database_200!$H4*4 + Cp_Database_200!$I4*8 + Cp_Database_200!$J4/4, 2), "-")</f>
        <v>-</v>
      </c>
    </row>
    <row r="5" spans="1:16" ht="15" x14ac:dyDescent="0.3">
      <c r="A5" s="8">
        <f>Cp_Database_200!A5</f>
        <v>4</v>
      </c>
      <c r="B5" s="9" t="str">
        <f>Cp_Database_200!B5</f>
        <v>Titanium</v>
      </c>
      <c r="C5" s="10" t="str">
        <f>Cp_Database_200!C5</f>
        <v>Ti</v>
      </c>
      <c r="D5" s="9" t="str">
        <f>Cp_Database_200!E5</f>
        <v>Metal</v>
      </c>
      <c r="E5" s="12">
        <f>Cp_Database_200!K5</f>
        <v>298</v>
      </c>
      <c r="F5" s="12">
        <f>Cp_Database_200!L5</f>
        <v>700</v>
      </c>
      <c r="G5" s="16">
        <f>IF(AND(298.15&gt;=$E5, 298.15&lt;=$F5), ROUND(Cp_Database_200!$F5 + Cp_Database_200!$G5*0.29815 + Cp_Database_200!$H5*0.08889342 + Cp_Database_200!$I5*0.02650357 + Cp_Database_200!$J5/0.08889342, 2), "-")</f>
        <v>25.24</v>
      </c>
      <c r="H5" s="16">
        <f>IF(AND(400&gt;=$E5, 400&lt;=$F5), ROUND(Cp_Database_200!$F5 + Cp_Database_200!$G5*0.4 + Cp_Database_200!$H5*0.16 + Cp_Database_200!$I5*0.064 + Cp_Database_200!$J5/0.16, 2), "-")</f>
        <v>26.86</v>
      </c>
      <c r="I5" s="16">
        <f>IF(AND(500&gt;=$E5, 500&lt;=$F5), ROUND(Cp_Database_200!$F5 + Cp_Database_200!$G5*0.5 + Cp_Database_200!$H5*0.25 + Cp_Database_200!$I5*0.125 + Cp_Database_200!$J5/0.25, 2), "-")</f>
        <v>27.88</v>
      </c>
      <c r="J5" s="16">
        <f>IF(AND(600&gt;=$E5, 600&lt;=$F5), ROUND(Cp_Database_200!$F5 + Cp_Database_200!$G5*0.6 + Cp_Database_200!$H5*0.36 + Cp_Database_200!$I5*0.216 + Cp_Database_200!$J5/0.36, 2), "-")</f>
        <v>28.6</v>
      </c>
      <c r="K5" s="16">
        <f>IF(AND(700&gt;=$E5, 700&lt;=$F5), ROUND(Cp_Database_200!$F5 + Cp_Database_200!$G5*0.7 + Cp_Database_200!$H5*0.49 + Cp_Database_200!$I5*0.343 + Cp_Database_200!$J5/0.49, 2), "-")</f>
        <v>29.14</v>
      </c>
      <c r="L5" s="16" t="str">
        <f>IF(AND(800&gt;=$E5, 800&lt;=$F5), ROUND(Cp_Database_200!$F5 + Cp_Database_200!$G5*0.8 + Cp_Database_200!$H5*0.64 + Cp_Database_200!$I5*0.512 + Cp_Database_200!$J5/0.64, 2), "-")</f>
        <v>-</v>
      </c>
      <c r="M5" s="16" t="str">
        <f>IF(AND(1000&gt;=$E5, 1000&lt;=$F5), ROUND(Cp_Database_200!$F5 + Cp_Database_200!$G5*1 + Cp_Database_200!$H5*1 + Cp_Database_200!$I5*1 + Cp_Database_200!$J5/1, 2), "-")</f>
        <v>-</v>
      </c>
      <c r="N5" s="16" t="str">
        <f>IF(AND(1200&gt;=$E5, 1200&lt;=$F5), ROUND(Cp_Database_200!$F5 + Cp_Database_200!$G5*1.2 + Cp_Database_200!$H5*1.44 + Cp_Database_200!$I5*1.728 + Cp_Database_200!$J5/1.44, 2), "-")</f>
        <v>-</v>
      </c>
      <c r="O5" s="16" t="str">
        <f>IF(AND(1500&gt;=$E5, 1500&lt;=$F5), ROUND(Cp_Database_200!$F5 + Cp_Database_200!$G5*1.5 + Cp_Database_200!$H5*2.25 + Cp_Database_200!$I5*3.375 + Cp_Database_200!$J5/2.25, 2), "-")</f>
        <v>-</v>
      </c>
      <c r="P5" s="16" t="str">
        <f>IF(AND(2000&gt;=$E5, 2000&lt;=$F5), ROUND(Cp_Database_200!$F5 + Cp_Database_200!$G5*2 + Cp_Database_200!$H5*4 + Cp_Database_200!$I5*8 + Cp_Database_200!$J5/4, 2), "-")</f>
        <v>-</v>
      </c>
    </row>
    <row r="6" spans="1:16" ht="15" x14ac:dyDescent="0.3">
      <c r="A6" s="2">
        <f>Cp_Database_200!A6</f>
        <v>5</v>
      </c>
      <c r="B6" s="3" t="str">
        <f>Cp_Database_200!B6</f>
        <v>Nickel</v>
      </c>
      <c r="C6" s="4" t="str">
        <f>Cp_Database_200!C6</f>
        <v>Ni</v>
      </c>
      <c r="D6" s="3" t="str">
        <f>Cp_Database_200!E6</f>
        <v>Metal</v>
      </c>
      <c r="E6" s="6">
        <f>Cp_Database_200!K6</f>
        <v>298</v>
      </c>
      <c r="F6" s="6">
        <f>Cp_Database_200!L6</f>
        <v>600</v>
      </c>
      <c r="G6" s="15">
        <f>IF(AND(298.15&gt;=$E6, 298.15&lt;=$F6), ROUND(Cp_Database_200!$F6 + Cp_Database_200!$G6*0.29815 + Cp_Database_200!$H6*0.08889342 + Cp_Database_200!$I6*0.02650357 + Cp_Database_200!$J6/0.08889342, 2), "-")</f>
        <v>25.98</v>
      </c>
      <c r="H6" s="15">
        <f>IF(AND(400&gt;=$E6, 400&lt;=$F6), ROUND(Cp_Database_200!$F6 + Cp_Database_200!$G6*0.4 + Cp_Database_200!$H6*0.16 + Cp_Database_200!$I6*0.064 + Cp_Database_200!$J6/0.16, 2), "-")</f>
        <v>28.46</v>
      </c>
      <c r="I6" s="15">
        <f>IF(AND(500&gt;=$E6, 500&lt;=$F6), ROUND(Cp_Database_200!$F6 + Cp_Database_200!$G6*0.5 + Cp_Database_200!$H6*0.25 + Cp_Database_200!$I6*0.125 + Cp_Database_200!$J6/0.25, 2), "-")</f>
        <v>31.03</v>
      </c>
      <c r="J6" s="15">
        <f>IF(AND(600&gt;=$E6, 600&lt;=$F6), ROUND(Cp_Database_200!$F6 + Cp_Database_200!$G6*0.6 + Cp_Database_200!$H6*0.36 + Cp_Database_200!$I6*0.216 + Cp_Database_200!$J6/0.36, 2), "-")</f>
        <v>34.85</v>
      </c>
      <c r="K6" s="15" t="str">
        <f>IF(AND(700&gt;=$E6, 700&lt;=$F6), ROUND(Cp_Database_200!$F6 + Cp_Database_200!$G6*0.7 + Cp_Database_200!$H6*0.49 + Cp_Database_200!$I6*0.343 + Cp_Database_200!$J6/0.49, 2), "-")</f>
        <v>-</v>
      </c>
      <c r="L6" s="15" t="str">
        <f>IF(AND(800&gt;=$E6, 800&lt;=$F6), ROUND(Cp_Database_200!$F6 + Cp_Database_200!$G6*0.8 + Cp_Database_200!$H6*0.64 + Cp_Database_200!$I6*0.512 + Cp_Database_200!$J6/0.64, 2), "-")</f>
        <v>-</v>
      </c>
      <c r="M6" s="15" t="str">
        <f>IF(AND(1000&gt;=$E6, 1000&lt;=$F6), ROUND(Cp_Database_200!$F6 + Cp_Database_200!$G6*1 + Cp_Database_200!$H6*1 + Cp_Database_200!$I6*1 + Cp_Database_200!$J6/1, 2), "-")</f>
        <v>-</v>
      </c>
      <c r="N6" s="15" t="str">
        <f>IF(AND(1200&gt;=$E6, 1200&lt;=$F6), ROUND(Cp_Database_200!$F6 + Cp_Database_200!$G6*1.2 + Cp_Database_200!$H6*1.44 + Cp_Database_200!$I6*1.728 + Cp_Database_200!$J6/1.44, 2), "-")</f>
        <v>-</v>
      </c>
      <c r="O6" s="15" t="str">
        <f>IF(AND(1500&gt;=$E6, 1500&lt;=$F6), ROUND(Cp_Database_200!$F6 + Cp_Database_200!$G6*1.5 + Cp_Database_200!$H6*2.25 + Cp_Database_200!$I6*3.375 + Cp_Database_200!$J6/2.25, 2), "-")</f>
        <v>-</v>
      </c>
      <c r="P6" s="15" t="str">
        <f>IF(AND(2000&gt;=$E6, 2000&lt;=$F6), ROUND(Cp_Database_200!$F6 + Cp_Database_200!$G6*2 + Cp_Database_200!$H6*4 + Cp_Database_200!$I6*8 + Cp_Database_200!$J6/4, 2), "-")</f>
        <v>-</v>
      </c>
    </row>
    <row r="7" spans="1:16" ht="15" x14ac:dyDescent="0.3">
      <c r="A7" s="8">
        <f>Cp_Database_200!A7</f>
        <v>6</v>
      </c>
      <c r="B7" s="9" t="str">
        <f>Cp_Database_200!B7</f>
        <v>Chromium</v>
      </c>
      <c r="C7" s="10" t="str">
        <f>Cp_Database_200!C7</f>
        <v>Cr</v>
      </c>
      <c r="D7" s="9" t="str">
        <f>Cp_Database_200!E7</f>
        <v>Metal</v>
      </c>
      <c r="E7" s="12">
        <f>Cp_Database_200!K7</f>
        <v>298</v>
      </c>
      <c r="F7" s="12">
        <f>Cp_Database_200!L7</f>
        <v>600</v>
      </c>
      <c r="G7" s="16">
        <f>IF(AND(298.15&gt;=$E7, 298.15&lt;=$F7), ROUND(Cp_Database_200!$F7 + Cp_Database_200!$G7*0.29815 + Cp_Database_200!$H7*0.08889342 + Cp_Database_200!$I7*0.02650357 + Cp_Database_200!$J7/0.08889342, 2), "-")</f>
        <v>23.43</v>
      </c>
      <c r="H7" s="16">
        <f>IF(AND(400&gt;=$E7, 400&lt;=$F7), ROUND(Cp_Database_200!$F7 + Cp_Database_200!$G7*0.4 + Cp_Database_200!$H7*0.16 + Cp_Database_200!$I7*0.064 + Cp_Database_200!$J7/0.16, 2), "-")</f>
        <v>25.23</v>
      </c>
      <c r="I7" s="16">
        <f>IF(AND(500&gt;=$E7, 500&lt;=$F7), ROUND(Cp_Database_200!$F7 + Cp_Database_200!$G7*0.5 + Cp_Database_200!$H7*0.25 + Cp_Database_200!$I7*0.125 + Cp_Database_200!$J7/0.25, 2), "-")</f>
        <v>26.63</v>
      </c>
      <c r="J7" s="16">
        <f>IF(AND(600&gt;=$E7, 600&lt;=$F7), ROUND(Cp_Database_200!$F7 + Cp_Database_200!$G7*0.6 + Cp_Database_200!$H7*0.36 + Cp_Database_200!$I7*0.216 + Cp_Database_200!$J7/0.36, 2), "-")</f>
        <v>27.72</v>
      </c>
      <c r="K7" s="16" t="str">
        <f>IF(AND(700&gt;=$E7, 700&lt;=$F7), ROUND(Cp_Database_200!$F7 + Cp_Database_200!$G7*0.7 + Cp_Database_200!$H7*0.49 + Cp_Database_200!$I7*0.343 + Cp_Database_200!$J7/0.49, 2), "-")</f>
        <v>-</v>
      </c>
      <c r="L7" s="16" t="str">
        <f>IF(AND(800&gt;=$E7, 800&lt;=$F7), ROUND(Cp_Database_200!$F7 + Cp_Database_200!$G7*0.8 + Cp_Database_200!$H7*0.64 + Cp_Database_200!$I7*0.512 + Cp_Database_200!$J7/0.64, 2), "-")</f>
        <v>-</v>
      </c>
      <c r="M7" s="16" t="str">
        <f>IF(AND(1000&gt;=$E7, 1000&lt;=$F7), ROUND(Cp_Database_200!$F7 + Cp_Database_200!$G7*1 + Cp_Database_200!$H7*1 + Cp_Database_200!$I7*1 + Cp_Database_200!$J7/1, 2), "-")</f>
        <v>-</v>
      </c>
      <c r="N7" s="16" t="str">
        <f>IF(AND(1200&gt;=$E7, 1200&lt;=$F7), ROUND(Cp_Database_200!$F7 + Cp_Database_200!$G7*1.2 + Cp_Database_200!$H7*1.44 + Cp_Database_200!$I7*1.728 + Cp_Database_200!$J7/1.44, 2), "-")</f>
        <v>-</v>
      </c>
      <c r="O7" s="16" t="str">
        <f>IF(AND(1500&gt;=$E7, 1500&lt;=$F7), ROUND(Cp_Database_200!$F7 + Cp_Database_200!$G7*1.5 + Cp_Database_200!$H7*2.25 + Cp_Database_200!$I7*3.375 + Cp_Database_200!$J7/2.25, 2), "-")</f>
        <v>-</v>
      </c>
      <c r="P7" s="16" t="str">
        <f>IF(AND(2000&gt;=$E7, 2000&lt;=$F7), ROUND(Cp_Database_200!$F7 + Cp_Database_200!$G7*2 + Cp_Database_200!$H7*4 + Cp_Database_200!$I7*8 + Cp_Database_200!$J7/4, 2), "-")</f>
        <v>-</v>
      </c>
    </row>
    <row r="8" spans="1:16" ht="15" x14ac:dyDescent="0.3">
      <c r="A8" s="2">
        <f>Cp_Database_200!A8</f>
        <v>7</v>
      </c>
      <c r="B8" s="3" t="str">
        <f>Cp_Database_200!B8</f>
        <v>Tungsten</v>
      </c>
      <c r="C8" s="4" t="str">
        <f>Cp_Database_200!C8</f>
        <v>W</v>
      </c>
      <c r="D8" s="3" t="str">
        <f>Cp_Database_200!E8</f>
        <v>Metal</v>
      </c>
      <c r="E8" s="6">
        <f>Cp_Database_200!K8</f>
        <v>298</v>
      </c>
      <c r="F8" s="6">
        <f>Cp_Database_200!L8</f>
        <v>1900</v>
      </c>
      <c r="G8" s="15">
        <f>IF(AND(298.15&gt;=$E8, 298.15&lt;=$F8), ROUND(Cp_Database_200!$F8 + Cp_Database_200!$G8*0.29815 + Cp_Database_200!$H8*0.08889342 + Cp_Database_200!$I8*0.02650357 + Cp_Database_200!$J8/0.08889342, 2), "-")</f>
        <v>24.31</v>
      </c>
      <c r="H8" s="15">
        <f>IF(AND(400&gt;=$E8, 400&lt;=$F8), ROUND(Cp_Database_200!$F8 + Cp_Database_200!$G8*0.4 + Cp_Database_200!$H8*0.16 + Cp_Database_200!$I8*0.064 + Cp_Database_200!$J8/0.16, 2), "-")</f>
        <v>24.9</v>
      </c>
      <c r="I8" s="15">
        <f>IF(AND(500&gt;=$E8, 500&lt;=$F8), ROUND(Cp_Database_200!$F8 + Cp_Database_200!$G8*0.5 + Cp_Database_200!$H8*0.25 + Cp_Database_200!$I8*0.125 + Cp_Database_200!$J8/0.25, 2), "-")</f>
        <v>25.37</v>
      </c>
      <c r="J8" s="15">
        <f>IF(AND(600&gt;=$E8, 600&lt;=$F8), ROUND(Cp_Database_200!$F8 + Cp_Database_200!$G8*0.6 + Cp_Database_200!$H8*0.36 + Cp_Database_200!$I8*0.216 + Cp_Database_200!$J8/0.36, 2), "-")</f>
        <v>25.81</v>
      </c>
      <c r="K8" s="15">
        <f>IF(AND(700&gt;=$E8, 700&lt;=$F8), ROUND(Cp_Database_200!$F8 + Cp_Database_200!$G8*0.7 + Cp_Database_200!$H8*0.49 + Cp_Database_200!$I8*0.343 + Cp_Database_200!$J8/0.49, 2), "-")</f>
        <v>26.24</v>
      </c>
      <c r="L8" s="15">
        <f>IF(AND(800&gt;=$E8, 800&lt;=$F8), ROUND(Cp_Database_200!$F8 + Cp_Database_200!$G8*0.8 + Cp_Database_200!$H8*0.64 + Cp_Database_200!$I8*0.512 + Cp_Database_200!$J8/0.64, 2), "-")</f>
        <v>26.67</v>
      </c>
      <c r="M8" s="15">
        <f>IF(AND(1000&gt;=$E8, 1000&lt;=$F8), ROUND(Cp_Database_200!$F8 + Cp_Database_200!$G8*1 + Cp_Database_200!$H8*1 + Cp_Database_200!$I8*1 + Cp_Database_200!$J8/1, 2), "-")</f>
        <v>27.55</v>
      </c>
      <c r="N8" s="15">
        <f>IF(AND(1200&gt;=$E8, 1200&lt;=$F8), ROUND(Cp_Database_200!$F8 + Cp_Database_200!$G8*1.2 + Cp_Database_200!$H8*1.44 + Cp_Database_200!$I8*1.728 + Cp_Database_200!$J8/1.44, 2), "-")</f>
        <v>28.46</v>
      </c>
      <c r="O8" s="15">
        <f>IF(AND(1500&gt;=$E8, 1500&lt;=$F8), ROUND(Cp_Database_200!$F8 + Cp_Database_200!$G8*1.5 + Cp_Database_200!$H8*2.25 + Cp_Database_200!$I8*3.375 + Cp_Database_200!$J8/2.25, 2), "-")</f>
        <v>29.87</v>
      </c>
      <c r="P8" s="15" t="str">
        <f>IF(AND(2000&gt;=$E8, 2000&lt;=$F8), ROUND(Cp_Database_200!$F8 + Cp_Database_200!$G8*2 + Cp_Database_200!$H8*4 + Cp_Database_200!$I8*8 + Cp_Database_200!$J8/4, 2), "-")</f>
        <v>-</v>
      </c>
    </row>
    <row r="9" spans="1:16" ht="15" x14ac:dyDescent="0.3">
      <c r="A9" s="8">
        <f>Cp_Database_200!A9</f>
        <v>8</v>
      </c>
      <c r="B9" s="9" t="str">
        <f>Cp_Database_200!B9</f>
        <v>Molybdenum</v>
      </c>
      <c r="C9" s="10" t="str">
        <f>Cp_Database_200!C9</f>
        <v>Mo</v>
      </c>
      <c r="D9" s="9" t="str">
        <f>Cp_Database_200!E9</f>
        <v>Metal</v>
      </c>
      <c r="E9" s="12">
        <f>Cp_Database_200!K9</f>
        <v>298</v>
      </c>
      <c r="F9" s="12">
        <f>Cp_Database_200!L9</f>
        <v>1900</v>
      </c>
      <c r="G9" s="16">
        <f>IF(AND(298.15&gt;=$E9, 298.15&lt;=$F9), ROUND(Cp_Database_200!$F9 + Cp_Database_200!$G9*0.29815 + Cp_Database_200!$H9*0.08889342 + Cp_Database_200!$I9*0.02650357 + Cp_Database_200!$J9/0.08889342, 2), "-")</f>
        <v>23.91</v>
      </c>
      <c r="H9" s="16">
        <f>IF(AND(400&gt;=$E9, 400&lt;=$F9), ROUND(Cp_Database_200!$F9 + Cp_Database_200!$G9*0.4 + Cp_Database_200!$H9*0.16 + Cp_Database_200!$I9*0.064 + Cp_Database_200!$J9/0.16, 2), "-")</f>
        <v>25.12</v>
      </c>
      <c r="I9" s="16">
        <f>IF(AND(500&gt;=$E9, 500&lt;=$F9), ROUND(Cp_Database_200!$F9 + Cp_Database_200!$G9*0.5 + Cp_Database_200!$H9*0.25 + Cp_Database_200!$I9*0.125 + Cp_Database_200!$J9/0.25, 2), "-")</f>
        <v>25.85</v>
      </c>
      <c r="J9" s="16">
        <f>IF(AND(600&gt;=$E9, 600&lt;=$F9), ROUND(Cp_Database_200!$F9 + Cp_Database_200!$G9*0.6 + Cp_Database_200!$H9*0.36 + Cp_Database_200!$I9*0.216 + Cp_Database_200!$J9/0.36, 2), "-")</f>
        <v>26.42</v>
      </c>
      <c r="K9" s="16">
        <f>IF(AND(700&gt;=$E9, 700&lt;=$F9), ROUND(Cp_Database_200!$F9 + Cp_Database_200!$G9*0.7 + Cp_Database_200!$H9*0.49 + Cp_Database_200!$I9*0.343 + Cp_Database_200!$J9/0.49, 2), "-")</f>
        <v>26.93</v>
      </c>
      <c r="L9" s="16">
        <f>IF(AND(800&gt;=$E9, 800&lt;=$F9), ROUND(Cp_Database_200!$F9 + Cp_Database_200!$G9*0.8 + Cp_Database_200!$H9*0.64 + Cp_Database_200!$I9*0.512 + Cp_Database_200!$J9/0.64, 2), "-")</f>
        <v>27.41</v>
      </c>
      <c r="M9" s="16">
        <f>IF(AND(1000&gt;=$E9, 1000&lt;=$F9), ROUND(Cp_Database_200!$F9 + Cp_Database_200!$G9*1 + Cp_Database_200!$H9*1 + Cp_Database_200!$I9*1 + Cp_Database_200!$J9/1, 2), "-")</f>
        <v>28.4</v>
      </c>
      <c r="N9" s="16">
        <f>IF(AND(1200&gt;=$E9, 1200&lt;=$F9), ROUND(Cp_Database_200!$F9 + Cp_Database_200!$G9*1.2 + Cp_Database_200!$H9*1.44 + Cp_Database_200!$I9*1.728 + Cp_Database_200!$J9/1.44, 2), "-")</f>
        <v>29.52</v>
      </c>
      <c r="O9" s="16">
        <f>IF(AND(1500&gt;=$E9, 1500&lt;=$F9), ROUND(Cp_Database_200!$F9 + Cp_Database_200!$G9*1.5 + Cp_Database_200!$H9*2.25 + Cp_Database_200!$I9*3.375 + Cp_Database_200!$J9/2.25, 2), "-")</f>
        <v>31.62</v>
      </c>
      <c r="P9" s="16" t="str">
        <f>IF(AND(2000&gt;=$E9, 2000&lt;=$F9), ROUND(Cp_Database_200!$F9 + Cp_Database_200!$G9*2 + Cp_Database_200!$H9*4 + Cp_Database_200!$I9*8 + Cp_Database_200!$J9/4, 2), "-")</f>
        <v>-</v>
      </c>
    </row>
    <row r="10" spans="1:16" ht="15" x14ac:dyDescent="0.3">
      <c r="A10" s="2">
        <f>Cp_Database_200!A10</f>
        <v>9</v>
      </c>
      <c r="B10" s="3" t="str">
        <f>Cp_Database_200!B10</f>
        <v>Zinc</v>
      </c>
      <c r="C10" s="4" t="str">
        <f>Cp_Database_200!C10</f>
        <v>Zn</v>
      </c>
      <c r="D10" s="3" t="str">
        <f>Cp_Database_200!E10</f>
        <v>Metal</v>
      </c>
      <c r="E10" s="6">
        <f>Cp_Database_200!K10</f>
        <v>298</v>
      </c>
      <c r="F10" s="6">
        <f>Cp_Database_200!L10</f>
        <v>692.73</v>
      </c>
      <c r="G10" s="15">
        <f>IF(AND(298.15&gt;=$E10, 298.15&lt;=$F10), ROUND(Cp_Database_200!$F10 + Cp_Database_200!$G10*0.29815 + Cp_Database_200!$H10*0.08889342 + Cp_Database_200!$I10*0.02650357 + Cp_Database_200!$J10/0.08889342, 2), "-")</f>
        <v>25.39</v>
      </c>
      <c r="H10" s="15">
        <f>IF(AND(400&gt;=$E10, 400&lt;=$F10), ROUND(Cp_Database_200!$F10 + Cp_Database_200!$G10*0.4 + Cp_Database_200!$H10*0.16 + Cp_Database_200!$I10*0.064 + Cp_Database_200!$J10/0.16, 2), "-")</f>
        <v>26.35</v>
      </c>
      <c r="I10" s="15">
        <f>IF(AND(500&gt;=$E10, 500&lt;=$F10), ROUND(Cp_Database_200!$F10 + Cp_Database_200!$G10*0.5 + Cp_Database_200!$H10*0.25 + Cp_Database_200!$I10*0.125 + Cp_Database_200!$J10/0.25, 2), "-")</f>
        <v>27.4</v>
      </c>
      <c r="J10" s="15">
        <f>IF(AND(600&gt;=$E10, 600&lt;=$F10), ROUND(Cp_Database_200!$F10 + Cp_Database_200!$G10*0.6 + Cp_Database_200!$H10*0.36 + Cp_Database_200!$I10*0.216 + Cp_Database_200!$J10/0.36, 2), "-")</f>
        <v>28.58</v>
      </c>
      <c r="K10" s="15" t="str">
        <f>IF(AND(700&gt;=$E10, 700&lt;=$F10), ROUND(Cp_Database_200!$F10 + Cp_Database_200!$G10*0.7 + Cp_Database_200!$H10*0.49 + Cp_Database_200!$I10*0.343 + Cp_Database_200!$J10/0.49, 2), "-")</f>
        <v>-</v>
      </c>
      <c r="L10" s="15" t="str">
        <f>IF(AND(800&gt;=$E10, 800&lt;=$F10), ROUND(Cp_Database_200!$F10 + Cp_Database_200!$G10*0.8 + Cp_Database_200!$H10*0.64 + Cp_Database_200!$I10*0.512 + Cp_Database_200!$J10/0.64, 2), "-")</f>
        <v>-</v>
      </c>
      <c r="M10" s="15" t="str">
        <f>IF(AND(1000&gt;=$E10, 1000&lt;=$F10), ROUND(Cp_Database_200!$F10 + Cp_Database_200!$G10*1 + Cp_Database_200!$H10*1 + Cp_Database_200!$I10*1 + Cp_Database_200!$J10/1, 2), "-")</f>
        <v>-</v>
      </c>
      <c r="N10" s="15" t="str">
        <f>IF(AND(1200&gt;=$E10, 1200&lt;=$F10), ROUND(Cp_Database_200!$F10 + Cp_Database_200!$G10*1.2 + Cp_Database_200!$H10*1.44 + Cp_Database_200!$I10*1.728 + Cp_Database_200!$J10/1.44, 2), "-")</f>
        <v>-</v>
      </c>
      <c r="O10" s="15" t="str">
        <f>IF(AND(1500&gt;=$E10, 1500&lt;=$F10), ROUND(Cp_Database_200!$F10 + Cp_Database_200!$G10*1.5 + Cp_Database_200!$H10*2.25 + Cp_Database_200!$I10*3.375 + Cp_Database_200!$J10/2.25, 2), "-")</f>
        <v>-</v>
      </c>
      <c r="P10" s="15" t="str">
        <f>IF(AND(2000&gt;=$E10, 2000&lt;=$F10), ROUND(Cp_Database_200!$F10 + Cp_Database_200!$G10*2 + Cp_Database_200!$H10*4 + Cp_Database_200!$I10*8 + Cp_Database_200!$J10/4, 2), "-")</f>
        <v>-</v>
      </c>
    </row>
    <row r="11" spans="1:16" ht="15" x14ac:dyDescent="0.3">
      <c r="A11" s="8">
        <f>Cp_Database_200!A11</f>
        <v>10</v>
      </c>
      <c r="B11" s="9" t="str">
        <f>Cp_Database_200!B11</f>
        <v>Magnesium</v>
      </c>
      <c r="C11" s="10" t="str">
        <f>Cp_Database_200!C11</f>
        <v>Mg</v>
      </c>
      <c r="D11" s="9" t="str">
        <f>Cp_Database_200!E11</f>
        <v>Metal</v>
      </c>
      <c r="E11" s="12">
        <f>Cp_Database_200!K11</f>
        <v>298</v>
      </c>
      <c r="F11" s="12">
        <f>Cp_Database_200!L11</f>
        <v>923</v>
      </c>
      <c r="G11" s="16">
        <f>IF(AND(298.15&gt;=$E11, 298.15&lt;=$F11), ROUND(Cp_Database_200!$F11 + Cp_Database_200!$G11*0.29815 + Cp_Database_200!$H11*0.08889342 + Cp_Database_200!$I11*0.02650357 + Cp_Database_200!$J11/0.08889342, 2), "-")</f>
        <v>24.86</v>
      </c>
      <c r="H11" s="16">
        <f>IF(AND(400&gt;=$E11, 400&lt;=$F11), ROUND(Cp_Database_200!$F11 + Cp_Database_200!$G11*0.4 + Cp_Database_200!$H11*0.16 + Cp_Database_200!$I11*0.064 + Cp_Database_200!$J11/0.16, 2), "-")</f>
        <v>26.17</v>
      </c>
      <c r="I11" s="16">
        <f>IF(AND(500&gt;=$E11, 500&lt;=$F11), ROUND(Cp_Database_200!$F11 + Cp_Database_200!$G11*0.5 + Cp_Database_200!$H11*0.25 + Cp_Database_200!$I11*0.125 + Cp_Database_200!$J11/0.25, 2), "-")</f>
        <v>27.16</v>
      </c>
      <c r="J11" s="16">
        <f>IF(AND(600&gt;=$E11, 600&lt;=$F11), ROUND(Cp_Database_200!$F11 + Cp_Database_200!$G11*0.6 + Cp_Database_200!$H11*0.36 + Cp_Database_200!$I11*0.216 + Cp_Database_200!$J11/0.36, 2), "-")</f>
        <v>28.16</v>
      </c>
      <c r="K11" s="16">
        <f>IF(AND(700&gt;=$E11, 700&lt;=$F11), ROUND(Cp_Database_200!$F11 + Cp_Database_200!$G11*0.7 + Cp_Database_200!$H11*0.49 + Cp_Database_200!$I11*0.343 + Cp_Database_200!$J11/0.49, 2), "-")</f>
        <v>29.26</v>
      </c>
      <c r="L11" s="16">
        <f>IF(AND(800&gt;=$E11, 800&lt;=$F11), ROUND(Cp_Database_200!$F11 + Cp_Database_200!$G11*0.8 + Cp_Database_200!$H11*0.64 + Cp_Database_200!$I11*0.512 + Cp_Database_200!$J11/0.64, 2), "-")</f>
        <v>30.5</v>
      </c>
      <c r="M11" s="16" t="str">
        <f>IF(AND(1000&gt;=$E11, 1000&lt;=$F11), ROUND(Cp_Database_200!$F11 + Cp_Database_200!$G11*1 + Cp_Database_200!$H11*1 + Cp_Database_200!$I11*1 + Cp_Database_200!$J11/1, 2), "-")</f>
        <v>-</v>
      </c>
      <c r="N11" s="16" t="str">
        <f>IF(AND(1200&gt;=$E11, 1200&lt;=$F11), ROUND(Cp_Database_200!$F11 + Cp_Database_200!$G11*1.2 + Cp_Database_200!$H11*1.44 + Cp_Database_200!$I11*1.728 + Cp_Database_200!$J11/1.44, 2), "-")</f>
        <v>-</v>
      </c>
      <c r="O11" s="16" t="str">
        <f>IF(AND(1500&gt;=$E11, 1500&lt;=$F11), ROUND(Cp_Database_200!$F11 + Cp_Database_200!$G11*1.5 + Cp_Database_200!$H11*2.25 + Cp_Database_200!$I11*3.375 + Cp_Database_200!$J11/2.25, 2), "-")</f>
        <v>-</v>
      </c>
      <c r="P11" s="16" t="str">
        <f>IF(AND(2000&gt;=$E11, 2000&lt;=$F11), ROUND(Cp_Database_200!$F11 + Cp_Database_200!$G11*2 + Cp_Database_200!$H11*4 + Cp_Database_200!$I11*8 + Cp_Database_200!$J11/4, 2), "-")</f>
        <v>-</v>
      </c>
    </row>
    <row r="12" spans="1:16" ht="15" x14ac:dyDescent="0.3">
      <c r="A12" s="2">
        <f>Cp_Database_200!A12</f>
        <v>11</v>
      </c>
      <c r="B12" s="3" t="str">
        <f>Cp_Database_200!B12</f>
        <v>Lead</v>
      </c>
      <c r="C12" s="4" t="str">
        <f>Cp_Database_200!C12</f>
        <v>Pb</v>
      </c>
      <c r="D12" s="3" t="str">
        <f>Cp_Database_200!E12</f>
        <v>Metal</v>
      </c>
      <c r="E12" s="6">
        <f>Cp_Database_200!K12</f>
        <v>298</v>
      </c>
      <c r="F12" s="6">
        <f>Cp_Database_200!L12</f>
        <v>600.6</v>
      </c>
      <c r="G12" s="15">
        <f>IF(AND(298.15&gt;=$E12, 298.15&lt;=$F12), ROUND(Cp_Database_200!$F12 + Cp_Database_200!$G12*0.29815 + Cp_Database_200!$H12*0.08889342 + Cp_Database_200!$I12*0.02650357 + Cp_Database_200!$J12/0.08889342, 2), "-")</f>
        <v>26.85</v>
      </c>
      <c r="H12" s="15">
        <f>IF(AND(400&gt;=$E12, 400&lt;=$F12), ROUND(Cp_Database_200!$F12 + Cp_Database_200!$G12*0.4 + Cp_Database_200!$H12*0.16 + Cp_Database_200!$I12*0.064 + Cp_Database_200!$J12/0.16, 2), "-")</f>
        <v>27.7</v>
      </c>
      <c r="I12" s="15">
        <f>IF(AND(500&gt;=$E12, 500&lt;=$F12), ROUND(Cp_Database_200!$F12 + Cp_Database_200!$G12*0.5 + Cp_Database_200!$H12*0.25 + Cp_Database_200!$I12*0.125 + Cp_Database_200!$J12/0.25, 2), "-")</f>
        <v>28.55</v>
      </c>
      <c r="J12" s="15">
        <f>IF(AND(600&gt;=$E12, 600&lt;=$F12), ROUND(Cp_Database_200!$F12 + Cp_Database_200!$G12*0.6 + Cp_Database_200!$H12*0.36 + Cp_Database_200!$I12*0.216 + Cp_Database_200!$J12/0.36, 2), "-")</f>
        <v>29.45</v>
      </c>
      <c r="K12" s="15" t="str">
        <f>IF(AND(700&gt;=$E12, 700&lt;=$F12), ROUND(Cp_Database_200!$F12 + Cp_Database_200!$G12*0.7 + Cp_Database_200!$H12*0.49 + Cp_Database_200!$I12*0.343 + Cp_Database_200!$J12/0.49, 2), "-")</f>
        <v>-</v>
      </c>
      <c r="L12" s="15" t="str">
        <f>IF(AND(800&gt;=$E12, 800&lt;=$F12), ROUND(Cp_Database_200!$F12 + Cp_Database_200!$G12*0.8 + Cp_Database_200!$H12*0.64 + Cp_Database_200!$I12*0.512 + Cp_Database_200!$J12/0.64, 2), "-")</f>
        <v>-</v>
      </c>
      <c r="M12" s="15" t="str">
        <f>IF(AND(1000&gt;=$E12, 1000&lt;=$F12), ROUND(Cp_Database_200!$F12 + Cp_Database_200!$G12*1 + Cp_Database_200!$H12*1 + Cp_Database_200!$I12*1 + Cp_Database_200!$J12/1, 2), "-")</f>
        <v>-</v>
      </c>
      <c r="N12" s="15" t="str">
        <f>IF(AND(1200&gt;=$E12, 1200&lt;=$F12), ROUND(Cp_Database_200!$F12 + Cp_Database_200!$G12*1.2 + Cp_Database_200!$H12*1.44 + Cp_Database_200!$I12*1.728 + Cp_Database_200!$J12/1.44, 2), "-")</f>
        <v>-</v>
      </c>
      <c r="O12" s="15" t="str">
        <f>IF(AND(1500&gt;=$E12, 1500&lt;=$F12), ROUND(Cp_Database_200!$F12 + Cp_Database_200!$G12*1.5 + Cp_Database_200!$H12*2.25 + Cp_Database_200!$I12*3.375 + Cp_Database_200!$J12/2.25, 2), "-")</f>
        <v>-</v>
      </c>
      <c r="P12" s="15" t="str">
        <f>IF(AND(2000&gt;=$E12, 2000&lt;=$F12), ROUND(Cp_Database_200!$F12 + Cp_Database_200!$G12*2 + Cp_Database_200!$H12*4 + Cp_Database_200!$I12*8 + Cp_Database_200!$J12/4, 2), "-")</f>
        <v>-</v>
      </c>
    </row>
    <row r="13" spans="1:16" ht="15" x14ac:dyDescent="0.3">
      <c r="A13" s="8">
        <f>Cp_Database_200!A13</f>
        <v>12</v>
      </c>
      <c r="B13" s="9" t="str">
        <f>Cp_Database_200!B13</f>
        <v>Cobalt</v>
      </c>
      <c r="C13" s="10" t="str">
        <f>Cp_Database_200!C13</f>
        <v>Co</v>
      </c>
      <c r="D13" s="9" t="str">
        <f>Cp_Database_200!E13</f>
        <v>Metal</v>
      </c>
      <c r="E13" s="12">
        <f>Cp_Database_200!K13</f>
        <v>298</v>
      </c>
      <c r="F13" s="12">
        <f>Cp_Database_200!L13</f>
        <v>700</v>
      </c>
      <c r="G13" s="16">
        <f>IF(AND(298.15&gt;=$E13, 298.15&lt;=$F13), ROUND(Cp_Database_200!$F13 + Cp_Database_200!$G13*0.29815 + Cp_Database_200!$H13*0.08889342 + Cp_Database_200!$I13*0.02650357 + Cp_Database_200!$J13/0.08889342, 2), "-")</f>
        <v>24.81</v>
      </c>
      <c r="H13" s="16">
        <f>IF(AND(400&gt;=$E13, 400&lt;=$F13), ROUND(Cp_Database_200!$F13 + Cp_Database_200!$G13*0.4 + Cp_Database_200!$H13*0.16 + Cp_Database_200!$I13*0.064 + Cp_Database_200!$J13/0.16, 2), "-")</f>
        <v>26.54</v>
      </c>
      <c r="I13" s="16">
        <f>IF(AND(500&gt;=$E13, 500&lt;=$F13), ROUND(Cp_Database_200!$F13 + Cp_Database_200!$G13*0.5 + Cp_Database_200!$H13*0.25 + Cp_Database_200!$I13*0.125 + Cp_Database_200!$J13/0.25, 2), "-")</f>
        <v>28.19</v>
      </c>
      <c r="J13" s="16">
        <f>IF(AND(600&gt;=$E13, 600&lt;=$F13), ROUND(Cp_Database_200!$F13 + Cp_Database_200!$G13*0.6 + Cp_Database_200!$H13*0.36 + Cp_Database_200!$I13*0.216 + Cp_Database_200!$J13/0.36, 2), "-")</f>
        <v>29.67</v>
      </c>
      <c r="K13" s="16">
        <f>IF(AND(700&gt;=$E13, 700&lt;=$F13), ROUND(Cp_Database_200!$F13 + Cp_Database_200!$G13*0.7 + Cp_Database_200!$H13*0.49 + Cp_Database_200!$I13*0.343 + Cp_Database_200!$J13/0.49, 2), "-")</f>
        <v>31.05</v>
      </c>
      <c r="L13" s="16" t="str">
        <f>IF(AND(800&gt;=$E13, 800&lt;=$F13), ROUND(Cp_Database_200!$F13 + Cp_Database_200!$G13*0.8 + Cp_Database_200!$H13*0.64 + Cp_Database_200!$I13*0.512 + Cp_Database_200!$J13/0.64, 2), "-")</f>
        <v>-</v>
      </c>
      <c r="M13" s="16" t="str">
        <f>IF(AND(1000&gt;=$E13, 1000&lt;=$F13), ROUND(Cp_Database_200!$F13 + Cp_Database_200!$G13*1 + Cp_Database_200!$H13*1 + Cp_Database_200!$I13*1 + Cp_Database_200!$J13/1, 2), "-")</f>
        <v>-</v>
      </c>
      <c r="N13" s="16" t="str">
        <f>IF(AND(1200&gt;=$E13, 1200&lt;=$F13), ROUND(Cp_Database_200!$F13 + Cp_Database_200!$G13*1.2 + Cp_Database_200!$H13*1.44 + Cp_Database_200!$I13*1.728 + Cp_Database_200!$J13/1.44, 2), "-")</f>
        <v>-</v>
      </c>
      <c r="O13" s="16" t="str">
        <f>IF(AND(1500&gt;=$E13, 1500&lt;=$F13), ROUND(Cp_Database_200!$F13 + Cp_Database_200!$G13*1.5 + Cp_Database_200!$H13*2.25 + Cp_Database_200!$I13*3.375 + Cp_Database_200!$J13/2.25, 2), "-")</f>
        <v>-</v>
      </c>
      <c r="P13" s="16" t="str">
        <f>IF(AND(2000&gt;=$E13, 2000&lt;=$F13), ROUND(Cp_Database_200!$F13 + Cp_Database_200!$G13*2 + Cp_Database_200!$H13*4 + Cp_Database_200!$I13*8 + Cp_Database_200!$J13/4, 2), "-")</f>
        <v>-</v>
      </c>
    </row>
    <row r="14" spans="1:16" ht="15" x14ac:dyDescent="0.3">
      <c r="A14" s="2">
        <f>Cp_Database_200!A14</f>
        <v>13</v>
      </c>
      <c r="B14" s="3" t="str">
        <f>Cp_Database_200!B14</f>
        <v>Vanadium</v>
      </c>
      <c r="C14" s="4" t="str">
        <f>Cp_Database_200!C14</f>
        <v>V</v>
      </c>
      <c r="D14" s="3" t="str">
        <f>Cp_Database_200!E14</f>
        <v>Metal</v>
      </c>
      <c r="E14" s="6">
        <f>Cp_Database_200!K14</f>
        <v>298</v>
      </c>
      <c r="F14" s="6">
        <f>Cp_Database_200!L14</f>
        <v>2190</v>
      </c>
      <c r="G14" s="15">
        <f>IF(AND(298.15&gt;=$E14, 298.15&lt;=$F14), ROUND(Cp_Database_200!$F14 + Cp_Database_200!$G14*0.29815 + Cp_Database_200!$H14*0.08889342 + Cp_Database_200!$I14*0.02650357 + Cp_Database_200!$J14/0.08889342, 2), "-")</f>
        <v>24.94</v>
      </c>
      <c r="H14" s="15">
        <f>IF(AND(400&gt;=$E14, 400&lt;=$F14), ROUND(Cp_Database_200!$F14 + Cp_Database_200!$G14*0.4 + Cp_Database_200!$H14*0.16 + Cp_Database_200!$I14*0.064 + Cp_Database_200!$J14/0.16, 2), "-")</f>
        <v>26.14</v>
      </c>
      <c r="I14" s="15">
        <f>IF(AND(500&gt;=$E14, 500&lt;=$F14), ROUND(Cp_Database_200!$F14 + Cp_Database_200!$G14*0.5 + Cp_Database_200!$H14*0.25 + Cp_Database_200!$I14*0.125 + Cp_Database_200!$J14/0.25, 2), "-")</f>
        <v>26.9</v>
      </c>
      <c r="J14" s="15">
        <f>IF(AND(600&gt;=$E14, 600&lt;=$F14), ROUND(Cp_Database_200!$F14 + Cp_Database_200!$G14*0.6 + Cp_Database_200!$H14*0.36 + Cp_Database_200!$I14*0.216 + Cp_Database_200!$J14/0.36, 2), "-")</f>
        <v>27.53</v>
      </c>
      <c r="K14" s="15">
        <f>IF(AND(700&gt;=$E14, 700&lt;=$F14), ROUND(Cp_Database_200!$F14 + Cp_Database_200!$G14*0.7 + Cp_Database_200!$H14*0.49 + Cp_Database_200!$I14*0.343 + Cp_Database_200!$J14/0.49, 2), "-")</f>
        <v>28.14</v>
      </c>
      <c r="L14" s="15">
        <f>IF(AND(800&gt;=$E14, 800&lt;=$F14), ROUND(Cp_Database_200!$F14 + Cp_Database_200!$G14*0.8 + Cp_Database_200!$H14*0.64 + Cp_Database_200!$I14*0.512 + Cp_Database_200!$J14/0.64, 2), "-")</f>
        <v>28.77</v>
      </c>
      <c r="M14" s="15">
        <f>IF(AND(1000&gt;=$E14, 1000&lt;=$F14), ROUND(Cp_Database_200!$F14 + Cp_Database_200!$G14*1 + Cp_Database_200!$H14*1 + Cp_Database_200!$I14*1 + Cp_Database_200!$J14/1, 2), "-")</f>
        <v>30.14</v>
      </c>
      <c r="N14" s="15">
        <f>IF(AND(1200&gt;=$E14, 1200&lt;=$F14), ROUND(Cp_Database_200!$F14 + Cp_Database_200!$G14*1.2 + Cp_Database_200!$H14*1.44 + Cp_Database_200!$I14*1.728 + Cp_Database_200!$J14/1.44, 2), "-")</f>
        <v>31.74</v>
      </c>
      <c r="O14" s="15">
        <f>IF(AND(1500&gt;=$E14, 1500&lt;=$F14), ROUND(Cp_Database_200!$F14 + Cp_Database_200!$G14*1.5 + Cp_Database_200!$H14*2.25 + Cp_Database_200!$I14*3.375 + Cp_Database_200!$J14/2.25, 2), "-")</f>
        <v>34.659999999999997</v>
      </c>
      <c r="P14" s="15">
        <f>IF(AND(2000&gt;=$E14, 2000&lt;=$F14), ROUND(Cp_Database_200!$F14 + Cp_Database_200!$G14*2 + Cp_Database_200!$H14*4 + Cp_Database_200!$I14*8 + Cp_Database_200!$J14/4, 2), "-")</f>
        <v>41.14</v>
      </c>
    </row>
    <row r="15" spans="1:16" ht="15" x14ac:dyDescent="0.3">
      <c r="A15" s="8">
        <f>Cp_Database_200!A15</f>
        <v>14</v>
      </c>
      <c r="B15" s="9" t="str">
        <f>Cp_Database_200!B15</f>
        <v>Zirconium</v>
      </c>
      <c r="C15" s="10" t="str">
        <f>Cp_Database_200!C15</f>
        <v>Zr</v>
      </c>
      <c r="D15" s="9" t="str">
        <f>Cp_Database_200!E15</f>
        <v>Metal</v>
      </c>
      <c r="E15" s="12">
        <f>Cp_Database_200!K15</f>
        <v>298</v>
      </c>
      <c r="F15" s="12">
        <f>Cp_Database_200!L15</f>
        <v>1700</v>
      </c>
      <c r="G15" s="16">
        <f>IF(AND(298.15&gt;=$E15, 298.15&lt;=$F15), ROUND(Cp_Database_200!$F15 + Cp_Database_200!$G15*0.29815 + Cp_Database_200!$H15*0.08889342 + Cp_Database_200!$I15*0.02650357 + Cp_Database_200!$J15/0.08889342, 2), "-")</f>
        <v>25.19</v>
      </c>
      <c r="H15" s="16">
        <f>IF(AND(400&gt;=$E15, 400&lt;=$F15), ROUND(Cp_Database_200!$F15 + Cp_Database_200!$G15*0.4 + Cp_Database_200!$H15*0.16 + Cp_Database_200!$I15*0.064 + Cp_Database_200!$J15/0.16, 2), "-")</f>
        <v>25.95</v>
      </c>
      <c r="I15" s="16">
        <f>IF(AND(500&gt;=$E15, 500&lt;=$F15), ROUND(Cp_Database_200!$F15 + Cp_Database_200!$G15*0.5 + Cp_Database_200!$H15*0.25 + Cp_Database_200!$I15*0.125 + Cp_Database_200!$J15/0.25, 2), "-")</f>
        <v>26.56</v>
      </c>
      <c r="J15" s="16">
        <f>IF(AND(600&gt;=$E15, 600&lt;=$F15), ROUND(Cp_Database_200!$F15 + Cp_Database_200!$G15*0.6 + Cp_Database_200!$H15*0.36 + Cp_Database_200!$I15*0.216 + Cp_Database_200!$J15/0.36, 2), "-")</f>
        <v>27.24</v>
      </c>
      <c r="K15" s="16">
        <f>IF(AND(700&gt;=$E15, 700&lt;=$F15), ROUND(Cp_Database_200!$F15 + Cp_Database_200!$G15*0.7 + Cp_Database_200!$H15*0.49 + Cp_Database_200!$I15*0.343 + Cp_Database_200!$J15/0.49, 2), "-")</f>
        <v>28.05</v>
      </c>
      <c r="L15" s="16">
        <f>IF(AND(800&gt;=$E15, 800&lt;=$F15), ROUND(Cp_Database_200!$F15 + Cp_Database_200!$G15*0.8 + Cp_Database_200!$H15*0.64 + Cp_Database_200!$I15*0.512 + Cp_Database_200!$J15/0.64, 2), "-")</f>
        <v>28.98</v>
      </c>
      <c r="M15" s="16">
        <f>IF(AND(1000&gt;=$E15, 1000&lt;=$F15), ROUND(Cp_Database_200!$F15 + Cp_Database_200!$G15*1 + Cp_Database_200!$H15*1 + Cp_Database_200!$I15*1 + Cp_Database_200!$J15/1, 2), "-")</f>
        <v>31.14</v>
      </c>
      <c r="N15" s="16">
        <f>IF(AND(1200&gt;=$E15, 1200&lt;=$F15), ROUND(Cp_Database_200!$F15 + Cp_Database_200!$G15*1.2 + Cp_Database_200!$H15*1.44 + Cp_Database_200!$I15*1.728 + Cp_Database_200!$J15/1.44, 2), "-")</f>
        <v>33.5</v>
      </c>
      <c r="O15" s="16">
        <f>IF(AND(1500&gt;=$E15, 1500&lt;=$F15), ROUND(Cp_Database_200!$F15 + Cp_Database_200!$G15*1.5 + Cp_Database_200!$H15*2.25 + Cp_Database_200!$I15*3.375 + Cp_Database_200!$J15/2.25, 2), "-")</f>
        <v>36.840000000000003</v>
      </c>
      <c r="P15" s="16" t="str">
        <f>IF(AND(2000&gt;=$E15, 2000&lt;=$F15), ROUND(Cp_Database_200!$F15 + Cp_Database_200!$G15*2 + Cp_Database_200!$H15*4 + Cp_Database_200!$I15*8 + Cp_Database_200!$J15/4, 2), "-")</f>
        <v>-</v>
      </c>
    </row>
    <row r="16" spans="1:16" ht="15" x14ac:dyDescent="0.3">
      <c r="A16" s="2">
        <f>Cp_Database_200!A16</f>
        <v>15</v>
      </c>
      <c r="B16" s="3" t="str">
        <f>Cp_Database_200!B16</f>
        <v>Niobium</v>
      </c>
      <c r="C16" s="4" t="str">
        <f>Cp_Database_200!C16</f>
        <v>Nb</v>
      </c>
      <c r="D16" s="3" t="str">
        <f>Cp_Database_200!E16</f>
        <v>Metal</v>
      </c>
      <c r="E16" s="6">
        <f>Cp_Database_200!K16</f>
        <v>298</v>
      </c>
      <c r="F16" s="6">
        <f>Cp_Database_200!L16</f>
        <v>2750</v>
      </c>
      <c r="G16" s="15">
        <f>IF(AND(298.15&gt;=$E16, 298.15&lt;=$F16), ROUND(Cp_Database_200!$F16 + Cp_Database_200!$G16*0.29815 + Cp_Database_200!$H16*0.08889342 + Cp_Database_200!$I16*0.02650357 + Cp_Database_200!$J16/0.08889342, 2), "-")</f>
        <v>24.75</v>
      </c>
      <c r="H16" s="15">
        <f>IF(AND(400&gt;=$E16, 400&lt;=$F16), ROUND(Cp_Database_200!$F16 + Cp_Database_200!$G16*0.4 + Cp_Database_200!$H16*0.16 + Cp_Database_200!$I16*0.064 + Cp_Database_200!$J16/0.16, 2), "-")</f>
        <v>25.31</v>
      </c>
      <c r="I16" s="15">
        <f>IF(AND(500&gt;=$E16, 500&lt;=$F16), ROUND(Cp_Database_200!$F16 + Cp_Database_200!$G16*0.5 + Cp_Database_200!$H16*0.25 + Cp_Database_200!$I16*0.125 + Cp_Database_200!$J16/0.25, 2), "-")</f>
        <v>25.85</v>
      </c>
      <c r="J16" s="15">
        <f>IF(AND(600&gt;=$E16, 600&lt;=$F16), ROUND(Cp_Database_200!$F16 + Cp_Database_200!$G16*0.6 + Cp_Database_200!$H16*0.36 + Cp_Database_200!$I16*0.216 + Cp_Database_200!$J16/0.36, 2), "-")</f>
        <v>26.35</v>
      </c>
      <c r="K16" s="15">
        <f>IF(AND(700&gt;=$E16, 700&lt;=$F16), ROUND(Cp_Database_200!$F16 + Cp_Database_200!$G16*0.7 + Cp_Database_200!$H16*0.49 + Cp_Database_200!$I16*0.343 + Cp_Database_200!$J16/0.49, 2), "-")</f>
        <v>26.82</v>
      </c>
      <c r="L16" s="15">
        <f>IF(AND(800&gt;=$E16, 800&lt;=$F16), ROUND(Cp_Database_200!$F16 + Cp_Database_200!$G16*0.8 + Cp_Database_200!$H16*0.64 + Cp_Database_200!$I16*0.512 + Cp_Database_200!$J16/0.64, 2), "-")</f>
        <v>27.24</v>
      </c>
      <c r="M16" s="15">
        <f>IF(AND(1000&gt;=$E16, 1000&lt;=$F16), ROUND(Cp_Database_200!$F16 + Cp_Database_200!$G16*1 + Cp_Database_200!$H16*1 + Cp_Database_200!$I16*1 + Cp_Database_200!$J16/1, 2), "-")</f>
        <v>28.04</v>
      </c>
      <c r="N16" s="15">
        <f>IF(AND(1200&gt;=$E16, 1200&lt;=$F16), ROUND(Cp_Database_200!$F16 + Cp_Database_200!$G16*1.2 + Cp_Database_200!$H16*1.44 + Cp_Database_200!$I16*1.728 + Cp_Database_200!$J16/1.44, 2), "-")</f>
        <v>28.8</v>
      </c>
      <c r="O16" s="15">
        <f>IF(AND(1500&gt;=$E16, 1500&lt;=$F16), ROUND(Cp_Database_200!$F16 + Cp_Database_200!$G16*1.5 + Cp_Database_200!$H16*2.25 + Cp_Database_200!$I16*3.375 + Cp_Database_200!$J16/2.25, 2), "-")</f>
        <v>30.09</v>
      </c>
      <c r="P16" s="15">
        <f>IF(AND(2000&gt;=$E16, 2000&lt;=$F16), ROUND(Cp_Database_200!$F16 + Cp_Database_200!$G16*2 + Cp_Database_200!$H16*4 + Cp_Database_200!$I16*8 + Cp_Database_200!$J16/4, 2), "-")</f>
        <v>33.28</v>
      </c>
    </row>
    <row r="17" spans="1:16" ht="15" x14ac:dyDescent="0.3">
      <c r="A17" s="8">
        <f>Cp_Database_200!A17</f>
        <v>16</v>
      </c>
      <c r="B17" s="9" t="str">
        <f>Cp_Database_200!B17</f>
        <v>Tantalum</v>
      </c>
      <c r="C17" s="10" t="str">
        <f>Cp_Database_200!C17</f>
        <v>Ta</v>
      </c>
      <c r="D17" s="9" t="str">
        <f>Cp_Database_200!E17</f>
        <v>Metal</v>
      </c>
      <c r="E17" s="12">
        <f>Cp_Database_200!K17</f>
        <v>298</v>
      </c>
      <c r="F17" s="12">
        <f>Cp_Database_200!L17</f>
        <v>1300</v>
      </c>
      <c r="G17" s="16">
        <f>IF(AND(298.15&gt;=$E17, 298.15&lt;=$F17), ROUND(Cp_Database_200!$F17 + Cp_Database_200!$G17*0.29815 + Cp_Database_200!$H17*0.08889342 + Cp_Database_200!$I17*0.02650357 + Cp_Database_200!$J17/0.08889342, 2), "-")</f>
        <v>25.3</v>
      </c>
      <c r="H17" s="16">
        <f>IF(AND(400&gt;=$E17, 400&lt;=$F17), ROUND(Cp_Database_200!$F17 + Cp_Database_200!$G17*0.4 + Cp_Database_200!$H17*0.16 + Cp_Database_200!$I17*0.064 + Cp_Database_200!$J17/0.16, 2), "-")</f>
        <v>25.85</v>
      </c>
      <c r="I17" s="16">
        <f>IF(AND(500&gt;=$E17, 500&lt;=$F17), ROUND(Cp_Database_200!$F17 + Cp_Database_200!$G17*0.5 + Cp_Database_200!$H17*0.25 + Cp_Database_200!$I17*0.125 + Cp_Database_200!$J17/0.25, 2), "-")</f>
        <v>26.37</v>
      </c>
      <c r="J17" s="16">
        <f>IF(AND(600&gt;=$E17, 600&lt;=$F17), ROUND(Cp_Database_200!$F17 + Cp_Database_200!$G17*0.6 + Cp_Database_200!$H17*0.36 + Cp_Database_200!$I17*0.216 + Cp_Database_200!$J17/0.36, 2), "-")</f>
        <v>26.81</v>
      </c>
      <c r="K17" s="16">
        <f>IF(AND(700&gt;=$E17, 700&lt;=$F17), ROUND(Cp_Database_200!$F17 + Cp_Database_200!$G17*0.7 + Cp_Database_200!$H17*0.49 + Cp_Database_200!$I17*0.343 + Cp_Database_200!$J17/0.49, 2), "-")</f>
        <v>27.17</v>
      </c>
      <c r="L17" s="16">
        <f>IF(AND(800&gt;=$E17, 800&lt;=$F17), ROUND(Cp_Database_200!$F17 + Cp_Database_200!$G17*0.8 + Cp_Database_200!$H17*0.64 + Cp_Database_200!$I17*0.512 + Cp_Database_200!$J17/0.64, 2), "-")</f>
        <v>27.46</v>
      </c>
      <c r="M17" s="16">
        <f>IF(AND(1000&gt;=$E17, 1000&lt;=$F17), ROUND(Cp_Database_200!$F17 + Cp_Database_200!$G17*1 + Cp_Database_200!$H17*1 + Cp_Database_200!$I17*1 + Cp_Database_200!$J17/1, 2), "-")</f>
        <v>27.98</v>
      </c>
      <c r="N17" s="16">
        <f>IF(AND(1200&gt;=$E17, 1200&lt;=$F17), ROUND(Cp_Database_200!$F17 + Cp_Database_200!$G17*1.2 + Cp_Database_200!$H17*1.44 + Cp_Database_200!$I17*1.728 + Cp_Database_200!$J17/1.44, 2), "-")</f>
        <v>28.6</v>
      </c>
      <c r="O17" s="16" t="str">
        <f>IF(AND(1500&gt;=$E17, 1500&lt;=$F17), ROUND(Cp_Database_200!$F17 + Cp_Database_200!$G17*1.5 + Cp_Database_200!$H17*2.25 + Cp_Database_200!$I17*3.375 + Cp_Database_200!$J17/2.25, 2), "-")</f>
        <v>-</v>
      </c>
      <c r="P17" s="16" t="str">
        <f>IF(AND(2000&gt;=$E17, 2000&lt;=$F17), ROUND(Cp_Database_200!$F17 + Cp_Database_200!$G17*2 + Cp_Database_200!$H17*4 + Cp_Database_200!$I17*8 + Cp_Database_200!$J17/4, 2), "-")</f>
        <v>-</v>
      </c>
    </row>
    <row r="18" spans="1:16" ht="15" x14ac:dyDescent="0.3">
      <c r="A18" s="2">
        <f>Cp_Database_200!A18</f>
        <v>17</v>
      </c>
      <c r="B18" s="3" t="str">
        <f>Cp_Database_200!B18</f>
        <v>Manganese</v>
      </c>
      <c r="C18" s="4" t="str">
        <f>Cp_Database_200!C18</f>
        <v>Mn</v>
      </c>
      <c r="D18" s="3" t="str">
        <f>Cp_Database_200!E18</f>
        <v>Metal</v>
      </c>
      <c r="E18" s="6">
        <f>Cp_Database_200!K18</f>
        <v>298</v>
      </c>
      <c r="F18" s="6">
        <f>Cp_Database_200!L18</f>
        <v>980</v>
      </c>
      <c r="G18" s="15">
        <f>IF(AND(298.15&gt;=$E18, 298.15&lt;=$F18), ROUND(Cp_Database_200!$F18 + Cp_Database_200!$G18*0.29815 + Cp_Database_200!$H18*0.08889342 + Cp_Database_200!$I18*0.02650357 + Cp_Database_200!$J18/0.08889342, 2), "-")</f>
        <v>26.27</v>
      </c>
      <c r="H18" s="15">
        <f>IF(AND(400&gt;=$E18, 400&lt;=$F18), ROUND(Cp_Database_200!$F18 + Cp_Database_200!$G18*0.4 + Cp_Database_200!$H18*0.16 + Cp_Database_200!$I18*0.064 + Cp_Database_200!$J18/0.16, 2), "-")</f>
        <v>28.68</v>
      </c>
      <c r="I18" s="15">
        <f>IF(AND(500&gt;=$E18, 500&lt;=$F18), ROUND(Cp_Database_200!$F18 + Cp_Database_200!$G18*0.5 + Cp_Database_200!$H18*0.25 + Cp_Database_200!$I18*0.125 + Cp_Database_200!$J18/0.25, 2), "-")</f>
        <v>30.41</v>
      </c>
      <c r="J18" s="15">
        <f>IF(AND(600&gt;=$E18, 600&lt;=$F18), ROUND(Cp_Database_200!$F18 + Cp_Database_200!$G18*0.6 + Cp_Database_200!$H18*0.36 + Cp_Database_200!$I18*0.216 + Cp_Database_200!$J18/0.36, 2), "-")</f>
        <v>31.95</v>
      </c>
      <c r="K18" s="15">
        <f>IF(AND(700&gt;=$E18, 700&lt;=$F18), ROUND(Cp_Database_200!$F18 + Cp_Database_200!$G18*0.7 + Cp_Database_200!$H18*0.49 + Cp_Database_200!$I18*0.343 + Cp_Database_200!$J18/0.49, 2), "-")</f>
        <v>33.42</v>
      </c>
      <c r="L18" s="15">
        <f>IF(AND(800&gt;=$E18, 800&lt;=$F18), ROUND(Cp_Database_200!$F18 + Cp_Database_200!$G18*0.8 + Cp_Database_200!$H18*0.64 + Cp_Database_200!$I18*0.512 + Cp_Database_200!$J18/0.64, 2), "-")</f>
        <v>34.89</v>
      </c>
      <c r="M18" s="15" t="str">
        <f>IF(AND(1000&gt;=$E18, 1000&lt;=$F18), ROUND(Cp_Database_200!$F18 + Cp_Database_200!$G18*1 + Cp_Database_200!$H18*1 + Cp_Database_200!$I18*1 + Cp_Database_200!$J18/1, 2), "-")</f>
        <v>-</v>
      </c>
      <c r="N18" s="15" t="str">
        <f>IF(AND(1200&gt;=$E18, 1200&lt;=$F18), ROUND(Cp_Database_200!$F18 + Cp_Database_200!$G18*1.2 + Cp_Database_200!$H18*1.44 + Cp_Database_200!$I18*1.728 + Cp_Database_200!$J18/1.44, 2), "-")</f>
        <v>-</v>
      </c>
      <c r="O18" s="15" t="str">
        <f>IF(AND(1500&gt;=$E18, 1500&lt;=$F18), ROUND(Cp_Database_200!$F18 + Cp_Database_200!$G18*1.5 + Cp_Database_200!$H18*2.25 + Cp_Database_200!$I18*3.375 + Cp_Database_200!$J18/2.25, 2), "-")</f>
        <v>-</v>
      </c>
      <c r="P18" s="15" t="str">
        <f>IF(AND(2000&gt;=$E18, 2000&lt;=$F18), ROUND(Cp_Database_200!$F18 + Cp_Database_200!$G18*2 + Cp_Database_200!$H18*4 + Cp_Database_200!$I18*8 + Cp_Database_200!$J18/4, 2), "-")</f>
        <v>-</v>
      </c>
    </row>
    <row r="19" spans="1:16" ht="15" x14ac:dyDescent="0.3">
      <c r="A19" s="8">
        <f>Cp_Database_200!A19</f>
        <v>18</v>
      </c>
      <c r="B19" s="9" t="str">
        <f>Cp_Database_200!B19</f>
        <v>Beryllium</v>
      </c>
      <c r="C19" s="10" t="str">
        <f>Cp_Database_200!C19</f>
        <v>Be</v>
      </c>
      <c r="D19" s="9" t="str">
        <f>Cp_Database_200!E19</f>
        <v>Metal</v>
      </c>
      <c r="E19" s="12">
        <f>Cp_Database_200!K19</f>
        <v>298</v>
      </c>
      <c r="F19" s="12">
        <f>Cp_Database_200!L19</f>
        <v>1527</v>
      </c>
      <c r="G19" s="16">
        <f>IF(AND(298.15&gt;=$E19, 298.15&lt;=$F19), ROUND(Cp_Database_200!$F19 + Cp_Database_200!$G19*0.29815 + Cp_Database_200!$H19*0.08889342 + Cp_Database_200!$I19*0.02650357 + Cp_Database_200!$J19/0.08889342, 2), "-")</f>
        <v>16.38</v>
      </c>
      <c r="H19" s="16">
        <f>IF(AND(400&gt;=$E19, 400&lt;=$F19), ROUND(Cp_Database_200!$F19 + Cp_Database_200!$G19*0.4 + Cp_Database_200!$H19*0.16 + Cp_Database_200!$I19*0.064 + Cp_Database_200!$J19/0.16, 2), "-")</f>
        <v>19.96</v>
      </c>
      <c r="I19" s="16">
        <f>IF(AND(500&gt;=$E19, 500&lt;=$F19), ROUND(Cp_Database_200!$F19 + Cp_Database_200!$G19*0.5 + Cp_Database_200!$H19*0.25 + Cp_Database_200!$I19*0.125 + Cp_Database_200!$J19/0.25, 2), "-")</f>
        <v>21.94</v>
      </c>
      <c r="J19" s="16">
        <f>IF(AND(600&gt;=$E19, 600&lt;=$F19), ROUND(Cp_Database_200!$F19 + Cp_Database_200!$G19*0.6 + Cp_Database_200!$H19*0.36 + Cp_Database_200!$I19*0.216 + Cp_Database_200!$J19/0.36, 2), "-")</f>
        <v>23.34</v>
      </c>
      <c r="K19" s="16">
        <f>IF(AND(700&gt;=$E19, 700&lt;=$F19), ROUND(Cp_Database_200!$F19 + Cp_Database_200!$G19*0.7 + Cp_Database_200!$H19*0.49 + Cp_Database_200!$I19*0.343 + Cp_Database_200!$J19/0.49, 2), "-")</f>
        <v>24.46</v>
      </c>
      <c r="L19" s="16">
        <f>IF(AND(800&gt;=$E19, 800&lt;=$F19), ROUND(Cp_Database_200!$F19 + Cp_Database_200!$G19*0.8 + Cp_Database_200!$H19*0.64 + Cp_Database_200!$I19*0.512 + Cp_Database_200!$J19/0.64, 2), "-")</f>
        <v>25.46</v>
      </c>
      <c r="M19" s="16">
        <f>IF(AND(1000&gt;=$E19, 1000&lt;=$F19), ROUND(Cp_Database_200!$F19 + Cp_Database_200!$G19*1 + Cp_Database_200!$H19*1 + Cp_Database_200!$I19*1 + Cp_Database_200!$J19/1, 2), "-")</f>
        <v>27.27</v>
      </c>
      <c r="N19" s="16">
        <f>IF(AND(1200&gt;=$E19, 1200&lt;=$F19), ROUND(Cp_Database_200!$F19 + Cp_Database_200!$G19*1.2 + Cp_Database_200!$H19*1.44 + Cp_Database_200!$I19*1.728 + Cp_Database_200!$J19/1.44, 2), "-")</f>
        <v>29.02</v>
      </c>
      <c r="O19" s="16">
        <f>IF(AND(1500&gt;=$E19, 1500&lt;=$F19), ROUND(Cp_Database_200!$F19 + Cp_Database_200!$G19*1.5 + Cp_Database_200!$H19*2.25 + Cp_Database_200!$I19*3.375 + Cp_Database_200!$J19/2.25, 2), "-")</f>
        <v>31.65</v>
      </c>
      <c r="P19" s="16" t="str">
        <f>IF(AND(2000&gt;=$E19, 2000&lt;=$F19), ROUND(Cp_Database_200!$F19 + Cp_Database_200!$G19*2 + Cp_Database_200!$H19*4 + Cp_Database_200!$I19*8 + Cp_Database_200!$J19/4, 2), "-")</f>
        <v>-</v>
      </c>
    </row>
    <row r="20" spans="1:16" ht="15" x14ac:dyDescent="0.3">
      <c r="A20" s="2">
        <f>Cp_Database_200!A20</f>
        <v>19</v>
      </c>
      <c r="B20" s="3" t="str">
        <f>Cp_Database_200!B20</f>
        <v>Hafnium</v>
      </c>
      <c r="C20" s="4" t="str">
        <f>Cp_Database_200!C20</f>
        <v>Hf</v>
      </c>
      <c r="D20" s="3" t="str">
        <f>Cp_Database_200!E20</f>
        <v>Metal</v>
      </c>
      <c r="E20" s="6">
        <f>Cp_Database_200!K20</f>
        <v>298</v>
      </c>
      <c r="F20" s="6">
        <f>Cp_Database_200!L20</f>
        <v>2500</v>
      </c>
      <c r="G20" s="15">
        <f>IF(AND(298.15&gt;=$E20, 298.15&lt;=$F20), ROUND(Cp_Database_200!$F20 + Cp_Database_200!$G20*0.29815 + Cp_Database_200!$H20*0.08889342 + Cp_Database_200!$I20*0.02650357 + Cp_Database_200!$J20/0.08889342, 2), "-")</f>
        <v>25.7</v>
      </c>
      <c r="H20" s="15">
        <f>IF(AND(400&gt;=$E20, 400&lt;=$F20), ROUND(Cp_Database_200!$F20 + Cp_Database_200!$G20*0.4 + Cp_Database_200!$H20*0.16 + Cp_Database_200!$I20*0.064 + Cp_Database_200!$J20/0.16, 2), "-")</f>
        <v>26.72</v>
      </c>
      <c r="I20" s="15">
        <f>IF(AND(500&gt;=$E20, 500&lt;=$F20), ROUND(Cp_Database_200!$F20 + Cp_Database_200!$G20*0.5 + Cp_Database_200!$H20*0.25 + Cp_Database_200!$I20*0.125 + Cp_Database_200!$J20/0.25, 2), "-")</f>
        <v>27.68</v>
      </c>
      <c r="J20" s="15">
        <f>IF(AND(600&gt;=$E20, 600&lt;=$F20), ROUND(Cp_Database_200!$F20 + Cp_Database_200!$G20*0.6 + Cp_Database_200!$H20*0.36 + Cp_Database_200!$I20*0.216 + Cp_Database_200!$J20/0.36, 2), "-")</f>
        <v>28.59</v>
      </c>
      <c r="K20" s="15">
        <f>IF(AND(700&gt;=$E20, 700&lt;=$F20), ROUND(Cp_Database_200!$F20 + Cp_Database_200!$G20*0.7 + Cp_Database_200!$H20*0.49 + Cp_Database_200!$I20*0.343 + Cp_Database_200!$J20/0.49, 2), "-")</f>
        <v>29.47</v>
      </c>
      <c r="L20" s="15">
        <f>IF(AND(800&gt;=$E20, 800&lt;=$F20), ROUND(Cp_Database_200!$F20 + Cp_Database_200!$G20*0.8 + Cp_Database_200!$H20*0.64 + Cp_Database_200!$I20*0.512 + Cp_Database_200!$J20/0.64, 2), "-")</f>
        <v>30.33</v>
      </c>
      <c r="M20" s="15">
        <f>IF(AND(1000&gt;=$E20, 1000&lt;=$F20), ROUND(Cp_Database_200!$F20 + Cp_Database_200!$G20*1 + Cp_Database_200!$H20*1 + Cp_Database_200!$I20*1 + Cp_Database_200!$J20/1, 2), "-")</f>
        <v>31.97</v>
      </c>
      <c r="N20" s="15">
        <f>IF(AND(1200&gt;=$E20, 1200&lt;=$F20), ROUND(Cp_Database_200!$F20 + Cp_Database_200!$G20*1.2 + Cp_Database_200!$H20*1.44 + Cp_Database_200!$I20*1.728 + Cp_Database_200!$J20/1.44, 2), "-")</f>
        <v>33.53</v>
      </c>
      <c r="O20" s="15">
        <f>IF(AND(1500&gt;=$E20, 1500&lt;=$F20), ROUND(Cp_Database_200!$F20 + Cp_Database_200!$G20*1.5 + Cp_Database_200!$H20*2.25 + Cp_Database_200!$I20*3.375 + Cp_Database_200!$J20/2.25, 2), "-")</f>
        <v>35.76</v>
      </c>
      <c r="P20" s="15">
        <f>IF(AND(2000&gt;=$E20, 2000&lt;=$F20), ROUND(Cp_Database_200!$F20 + Cp_Database_200!$G20*2 + Cp_Database_200!$H20*4 + Cp_Database_200!$I20*8 + Cp_Database_200!$J20/4, 2), "-")</f>
        <v>39.28</v>
      </c>
    </row>
    <row r="21" spans="1:16" ht="15" x14ac:dyDescent="0.3">
      <c r="A21" s="8">
        <f>Cp_Database_200!A21</f>
        <v>20</v>
      </c>
      <c r="B21" s="9" t="str">
        <f>Cp_Database_200!B21</f>
        <v>Lithium</v>
      </c>
      <c r="C21" s="10" t="str">
        <f>Cp_Database_200!C21</f>
        <v>Li</v>
      </c>
      <c r="D21" s="9" t="str">
        <f>Cp_Database_200!E21</f>
        <v>Metal</v>
      </c>
      <c r="E21" s="12">
        <f>Cp_Database_200!K21</f>
        <v>298</v>
      </c>
      <c r="F21" s="12">
        <f>Cp_Database_200!L21</f>
        <v>453</v>
      </c>
      <c r="G21" s="16">
        <f>IF(AND(298.15&gt;=$E21, 298.15&lt;=$F21), ROUND(Cp_Database_200!$F21 + Cp_Database_200!$G21*0.29815 + Cp_Database_200!$H21*0.08889342 + Cp_Database_200!$I21*0.02650357 + Cp_Database_200!$J21/0.08889342, 2), "-")</f>
        <v>24.63</v>
      </c>
      <c r="H21" s="16">
        <f>IF(AND(400&gt;=$E21, 400&lt;=$F21), ROUND(Cp_Database_200!$F21 + Cp_Database_200!$G21*0.4 + Cp_Database_200!$H21*0.16 + Cp_Database_200!$I21*0.064 + Cp_Database_200!$J21/0.16, 2), "-")</f>
        <v>27.61</v>
      </c>
      <c r="I21" s="16" t="str">
        <f>IF(AND(500&gt;=$E21, 500&lt;=$F21), ROUND(Cp_Database_200!$F21 + Cp_Database_200!$G21*0.5 + Cp_Database_200!$H21*0.25 + Cp_Database_200!$I21*0.125 + Cp_Database_200!$J21/0.25, 2), "-")</f>
        <v>-</v>
      </c>
      <c r="J21" s="16" t="str">
        <f>IF(AND(600&gt;=$E21, 600&lt;=$F21), ROUND(Cp_Database_200!$F21 + Cp_Database_200!$G21*0.6 + Cp_Database_200!$H21*0.36 + Cp_Database_200!$I21*0.216 + Cp_Database_200!$J21/0.36, 2), "-")</f>
        <v>-</v>
      </c>
      <c r="K21" s="16" t="str">
        <f>IF(AND(700&gt;=$E21, 700&lt;=$F21), ROUND(Cp_Database_200!$F21 + Cp_Database_200!$G21*0.7 + Cp_Database_200!$H21*0.49 + Cp_Database_200!$I21*0.343 + Cp_Database_200!$J21/0.49, 2), "-")</f>
        <v>-</v>
      </c>
      <c r="L21" s="16" t="str">
        <f>IF(AND(800&gt;=$E21, 800&lt;=$F21), ROUND(Cp_Database_200!$F21 + Cp_Database_200!$G21*0.8 + Cp_Database_200!$H21*0.64 + Cp_Database_200!$I21*0.512 + Cp_Database_200!$J21/0.64, 2), "-")</f>
        <v>-</v>
      </c>
      <c r="M21" s="16" t="str">
        <f>IF(AND(1000&gt;=$E21, 1000&lt;=$F21), ROUND(Cp_Database_200!$F21 + Cp_Database_200!$G21*1 + Cp_Database_200!$H21*1 + Cp_Database_200!$I21*1 + Cp_Database_200!$J21/1, 2), "-")</f>
        <v>-</v>
      </c>
      <c r="N21" s="16" t="str">
        <f>IF(AND(1200&gt;=$E21, 1200&lt;=$F21), ROUND(Cp_Database_200!$F21 + Cp_Database_200!$G21*1.2 + Cp_Database_200!$H21*1.44 + Cp_Database_200!$I21*1.728 + Cp_Database_200!$J21/1.44, 2), "-")</f>
        <v>-</v>
      </c>
      <c r="O21" s="16" t="str">
        <f>IF(AND(1500&gt;=$E21, 1500&lt;=$F21), ROUND(Cp_Database_200!$F21 + Cp_Database_200!$G21*1.5 + Cp_Database_200!$H21*2.25 + Cp_Database_200!$I21*3.375 + Cp_Database_200!$J21/2.25, 2), "-")</f>
        <v>-</v>
      </c>
      <c r="P21" s="16" t="str">
        <f>IF(AND(2000&gt;=$E21, 2000&lt;=$F21), ROUND(Cp_Database_200!$F21 + Cp_Database_200!$G21*2 + Cp_Database_200!$H21*4 + Cp_Database_200!$I21*8 + Cp_Database_200!$J21/4, 2), "-")</f>
        <v>-</v>
      </c>
    </row>
    <row r="22" spans="1:16" ht="15" x14ac:dyDescent="0.3">
      <c r="A22" s="2">
        <f>Cp_Database_200!A22</f>
        <v>21</v>
      </c>
      <c r="B22" s="3" t="str">
        <f>Cp_Database_200!B22</f>
        <v>Sodium</v>
      </c>
      <c r="C22" s="4" t="str">
        <f>Cp_Database_200!C22</f>
        <v>Na</v>
      </c>
      <c r="D22" s="3" t="str">
        <f>Cp_Database_200!E22</f>
        <v>Metal</v>
      </c>
      <c r="E22" s="6">
        <f>Cp_Database_200!K22</f>
        <v>298</v>
      </c>
      <c r="F22" s="6">
        <f>Cp_Database_200!L22</f>
        <v>370</v>
      </c>
      <c r="G22" s="15">
        <f>IF(AND(298.15&gt;=$E22, 298.15&lt;=$F22), ROUND(Cp_Database_200!$F22 + Cp_Database_200!$G22*0.29815 + Cp_Database_200!$H22*0.08889342 + Cp_Database_200!$I22*0.02650357 + Cp_Database_200!$J22/0.08889342, 2), "-")</f>
        <v>28.15</v>
      </c>
      <c r="H22" s="15" t="str">
        <f>IF(AND(400&gt;=$E22, 400&lt;=$F22), ROUND(Cp_Database_200!$F22 + Cp_Database_200!$G22*0.4 + Cp_Database_200!$H22*0.16 + Cp_Database_200!$I22*0.064 + Cp_Database_200!$J22/0.16, 2), "-")</f>
        <v>-</v>
      </c>
      <c r="I22" s="15" t="str">
        <f>IF(AND(500&gt;=$E22, 500&lt;=$F22), ROUND(Cp_Database_200!$F22 + Cp_Database_200!$G22*0.5 + Cp_Database_200!$H22*0.25 + Cp_Database_200!$I22*0.125 + Cp_Database_200!$J22/0.25, 2), "-")</f>
        <v>-</v>
      </c>
      <c r="J22" s="15" t="str">
        <f>IF(AND(600&gt;=$E22, 600&lt;=$F22), ROUND(Cp_Database_200!$F22 + Cp_Database_200!$G22*0.6 + Cp_Database_200!$H22*0.36 + Cp_Database_200!$I22*0.216 + Cp_Database_200!$J22/0.36, 2), "-")</f>
        <v>-</v>
      </c>
      <c r="K22" s="15" t="str">
        <f>IF(AND(700&gt;=$E22, 700&lt;=$F22), ROUND(Cp_Database_200!$F22 + Cp_Database_200!$G22*0.7 + Cp_Database_200!$H22*0.49 + Cp_Database_200!$I22*0.343 + Cp_Database_200!$J22/0.49, 2), "-")</f>
        <v>-</v>
      </c>
      <c r="L22" s="15" t="str">
        <f>IF(AND(800&gt;=$E22, 800&lt;=$F22), ROUND(Cp_Database_200!$F22 + Cp_Database_200!$G22*0.8 + Cp_Database_200!$H22*0.64 + Cp_Database_200!$I22*0.512 + Cp_Database_200!$J22/0.64, 2), "-")</f>
        <v>-</v>
      </c>
      <c r="M22" s="15" t="str">
        <f>IF(AND(1000&gt;=$E22, 1000&lt;=$F22), ROUND(Cp_Database_200!$F22 + Cp_Database_200!$G22*1 + Cp_Database_200!$H22*1 + Cp_Database_200!$I22*1 + Cp_Database_200!$J22/1, 2), "-")</f>
        <v>-</v>
      </c>
      <c r="N22" s="15" t="str">
        <f>IF(AND(1200&gt;=$E22, 1200&lt;=$F22), ROUND(Cp_Database_200!$F22 + Cp_Database_200!$G22*1.2 + Cp_Database_200!$H22*1.44 + Cp_Database_200!$I22*1.728 + Cp_Database_200!$J22/1.44, 2), "-")</f>
        <v>-</v>
      </c>
      <c r="O22" s="15" t="str">
        <f>IF(AND(1500&gt;=$E22, 1500&lt;=$F22), ROUND(Cp_Database_200!$F22 + Cp_Database_200!$G22*1.5 + Cp_Database_200!$H22*2.25 + Cp_Database_200!$I22*3.375 + Cp_Database_200!$J22/2.25, 2), "-")</f>
        <v>-</v>
      </c>
      <c r="P22" s="15" t="str">
        <f>IF(AND(2000&gt;=$E22, 2000&lt;=$F22), ROUND(Cp_Database_200!$F22 + Cp_Database_200!$G22*2 + Cp_Database_200!$H22*4 + Cp_Database_200!$I22*8 + Cp_Database_200!$J22/4, 2), "-")</f>
        <v>-</v>
      </c>
    </row>
    <row r="23" spans="1:16" ht="15" x14ac:dyDescent="0.3">
      <c r="A23" s="8">
        <f>Cp_Database_200!A23</f>
        <v>22</v>
      </c>
      <c r="B23" s="9" t="str">
        <f>Cp_Database_200!B23</f>
        <v>Potassium</v>
      </c>
      <c r="C23" s="10" t="str">
        <f>Cp_Database_200!C23</f>
        <v>K</v>
      </c>
      <c r="D23" s="9" t="str">
        <f>Cp_Database_200!E23</f>
        <v>Metal</v>
      </c>
      <c r="E23" s="12">
        <f>Cp_Database_200!K23</f>
        <v>298</v>
      </c>
      <c r="F23" s="12">
        <f>Cp_Database_200!L23</f>
        <v>336.35</v>
      </c>
      <c r="G23" s="16">
        <f>IF(AND(298.15&gt;=$E23, 298.15&lt;=$F23), ROUND(Cp_Database_200!$F23 + Cp_Database_200!$G23*0.29815 + Cp_Database_200!$H23*0.08889342 + Cp_Database_200!$I23*0.02650357 + Cp_Database_200!$J23/0.08889342, 2), "-")</f>
        <v>29.56</v>
      </c>
      <c r="H23" s="16" t="str">
        <f>IF(AND(400&gt;=$E23, 400&lt;=$F23), ROUND(Cp_Database_200!$F23 + Cp_Database_200!$G23*0.4 + Cp_Database_200!$H23*0.16 + Cp_Database_200!$I23*0.064 + Cp_Database_200!$J23/0.16, 2), "-")</f>
        <v>-</v>
      </c>
      <c r="I23" s="16" t="str">
        <f>IF(AND(500&gt;=$E23, 500&lt;=$F23), ROUND(Cp_Database_200!$F23 + Cp_Database_200!$G23*0.5 + Cp_Database_200!$H23*0.25 + Cp_Database_200!$I23*0.125 + Cp_Database_200!$J23/0.25, 2), "-")</f>
        <v>-</v>
      </c>
      <c r="J23" s="16" t="str">
        <f>IF(AND(600&gt;=$E23, 600&lt;=$F23), ROUND(Cp_Database_200!$F23 + Cp_Database_200!$G23*0.6 + Cp_Database_200!$H23*0.36 + Cp_Database_200!$I23*0.216 + Cp_Database_200!$J23/0.36, 2), "-")</f>
        <v>-</v>
      </c>
      <c r="K23" s="16" t="str">
        <f>IF(AND(700&gt;=$E23, 700&lt;=$F23), ROUND(Cp_Database_200!$F23 + Cp_Database_200!$G23*0.7 + Cp_Database_200!$H23*0.49 + Cp_Database_200!$I23*0.343 + Cp_Database_200!$J23/0.49, 2), "-")</f>
        <v>-</v>
      </c>
      <c r="L23" s="16" t="str">
        <f>IF(AND(800&gt;=$E23, 800&lt;=$F23), ROUND(Cp_Database_200!$F23 + Cp_Database_200!$G23*0.8 + Cp_Database_200!$H23*0.64 + Cp_Database_200!$I23*0.512 + Cp_Database_200!$J23/0.64, 2), "-")</f>
        <v>-</v>
      </c>
      <c r="M23" s="16" t="str">
        <f>IF(AND(1000&gt;=$E23, 1000&lt;=$F23), ROUND(Cp_Database_200!$F23 + Cp_Database_200!$G23*1 + Cp_Database_200!$H23*1 + Cp_Database_200!$I23*1 + Cp_Database_200!$J23/1, 2), "-")</f>
        <v>-</v>
      </c>
      <c r="N23" s="16" t="str">
        <f>IF(AND(1200&gt;=$E23, 1200&lt;=$F23), ROUND(Cp_Database_200!$F23 + Cp_Database_200!$G23*1.2 + Cp_Database_200!$H23*1.44 + Cp_Database_200!$I23*1.728 + Cp_Database_200!$J23/1.44, 2), "-")</f>
        <v>-</v>
      </c>
      <c r="O23" s="16" t="str">
        <f>IF(AND(1500&gt;=$E23, 1500&lt;=$F23), ROUND(Cp_Database_200!$F23 + Cp_Database_200!$G23*1.5 + Cp_Database_200!$H23*2.25 + Cp_Database_200!$I23*3.375 + Cp_Database_200!$J23/2.25, 2), "-")</f>
        <v>-</v>
      </c>
      <c r="P23" s="16" t="str">
        <f>IF(AND(2000&gt;=$E23, 2000&lt;=$F23), ROUND(Cp_Database_200!$F23 + Cp_Database_200!$G23*2 + Cp_Database_200!$H23*4 + Cp_Database_200!$I23*8 + Cp_Database_200!$J23/4, 2), "-")</f>
        <v>-</v>
      </c>
    </row>
    <row r="24" spans="1:16" ht="15" x14ac:dyDescent="0.3">
      <c r="A24" s="2">
        <f>Cp_Database_200!A24</f>
        <v>23</v>
      </c>
      <c r="B24" s="3" t="str">
        <f>Cp_Database_200!B24</f>
        <v>Calcium</v>
      </c>
      <c r="C24" s="4" t="str">
        <f>Cp_Database_200!C24</f>
        <v>Ca</v>
      </c>
      <c r="D24" s="3" t="str">
        <f>Cp_Database_200!E24</f>
        <v>Metal</v>
      </c>
      <c r="E24" s="6">
        <f>Cp_Database_200!K24</f>
        <v>298</v>
      </c>
      <c r="F24" s="6">
        <f>Cp_Database_200!L24</f>
        <v>1100</v>
      </c>
      <c r="G24" s="15">
        <f>IF(AND(298.15&gt;=$E24, 298.15&lt;=$F24), ROUND(Cp_Database_200!$F24 + Cp_Database_200!$G24*0.29815 + Cp_Database_200!$H24*0.08889342 + Cp_Database_200!$I24*0.02650357 + Cp_Database_200!$J24/0.08889342, 2), "-")</f>
        <v>25.93</v>
      </c>
      <c r="H24" s="15">
        <f>IF(AND(400&gt;=$E24, 400&lt;=$F24), ROUND(Cp_Database_200!$F24 + Cp_Database_200!$G24*0.4 + Cp_Database_200!$H24*0.16 + Cp_Database_200!$I24*0.064 + Cp_Database_200!$J24/0.16, 2), "-")</f>
        <v>26.9</v>
      </c>
      <c r="I24" s="15">
        <f>IF(AND(500&gt;=$E24, 500&lt;=$F24), ROUND(Cp_Database_200!$F24 + Cp_Database_200!$G24*0.5 + Cp_Database_200!$H24*0.25 + Cp_Database_200!$I24*0.125 + Cp_Database_200!$J24/0.25, 2), "-")</f>
        <v>28.48</v>
      </c>
      <c r="J24" s="15">
        <f>IF(AND(600&gt;=$E24, 600&lt;=$F24), ROUND(Cp_Database_200!$F24 + Cp_Database_200!$G24*0.6 + Cp_Database_200!$H24*0.36 + Cp_Database_200!$I24*0.216 + Cp_Database_200!$J24/0.36, 2), "-")</f>
        <v>30.36</v>
      </c>
      <c r="K24" s="15">
        <f>IF(AND(700&gt;=$E24, 700&lt;=$F24), ROUND(Cp_Database_200!$F24 + Cp_Database_200!$G24*0.7 + Cp_Database_200!$H24*0.49 + Cp_Database_200!$I24*0.343 + Cp_Database_200!$J24/0.49, 2), "-")</f>
        <v>32.42</v>
      </c>
      <c r="L24" s="15">
        <f>IF(AND(800&gt;=$E24, 800&lt;=$F24), ROUND(Cp_Database_200!$F24 + Cp_Database_200!$G24*0.8 + Cp_Database_200!$H24*0.64 + Cp_Database_200!$I24*0.512 + Cp_Database_200!$J24/0.64, 2), "-")</f>
        <v>34.590000000000003</v>
      </c>
      <c r="M24" s="15">
        <f>IF(AND(1000&gt;=$E24, 1000&lt;=$F24), ROUND(Cp_Database_200!$F24 + Cp_Database_200!$G24*1 + Cp_Database_200!$H24*1 + Cp_Database_200!$I24*1 + Cp_Database_200!$J24/1, 2), "-")</f>
        <v>39.04</v>
      </c>
      <c r="N24" s="15" t="str">
        <f>IF(AND(1200&gt;=$E24, 1200&lt;=$F24), ROUND(Cp_Database_200!$F24 + Cp_Database_200!$G24*1.2 + Cp_Database_200!$H24*1.44 + Cp_Database_200!$I24*1.728 + Cp_Database_200!$J24/1.44, 2), "-")</f>
        <v>-</v>
      </c>
      <c r="O24" s="15" t="str">
        <f>IF(AND(1500&gt;=$E24, 1500&lt;=$F24), ROUND(Cp_Database_200!$F24 + Cp_Database_200!$G24*1.5 + Cp_Database_200!$H24*2.25 + Cp_Database_200!$I24*3.375 + Cp_Database_200!$J24/2.25, 2), "-")</f>
        <v>-</v>
      </c>
      <c r="P24" s="15" t="str">
        <f>IF(AND(2000&gt;=$E24, 2000&lt;=$F24), ROUND(Cp_Database_200!$F24 + Cp_Database_200!$G24*2 + Cp_Database_200!$H24*4 + Cp_Database_200!$I24*8 + Cp_Database_200!$J24/4, 2), "-")</f>
        <v>-</v>
      </c>
    </row>
    <row r="25" spans="1:16" ht="15" x14ac:dyDescent="0.3">
      <c r="A25" s="8">
        <f>Cp_Database_200!A25</f>
        <v>24</v>
      </c>
      <c r="B25" s="9" t="str">
        <f>Cp_Database_200!B25</f>
        <v>Strontium</v>
      </c>
      <c r="C25" s="10" t="str">
        <f>Cp_Database_200!C25</f>
        <v>Sr</v>
      </c>
      <c r="D25" s="9" t="str">
        <f>Cp_Database_200!E25</f>
        <v>Metal</v>
      </c>
      <c r="E25" s="12">
        <f>Cp_Database_200!K25</f>
        <v>298</v>
      </c>
      <c r="F25" s="12">
        <f>Cp_Database_200!L25</f>
        <v>1050</v>
      </c>
      <c r="G25" s="16">
        <f>IF(AND(298.15&gt;=$E25, 298.15&lt;=$F25), ROUND(Cp_Database_200!$F25 + Cp_Database_200!$G25*0.29815 + Cp_Database_200!$H25*0.08889342 + Cp_Database_200!$I25*0.02650357 + Cp_Database_200!$J25/0.08889342, 2), "-")</f>
        <v>26.79</v>
      </c>
      <c r="H25" s="16">
        <f>IF(AND(400&gt;=$E25, 400&lt;=$F25), ROUND(Cp_Database_200!$F25 + Cp_Database_200!$G25*0.4 + Cp_Database_200!$H25*0.16 + Cp_Database_200!$I25*0.064 + Cp_Database_200!$J25/0.16, 2), "-")</f>
        <v>27.78</v>
      </c>
      <c r="I25" s="16">
        <f>IF(AND(500&gt;=$E25, 500&lt;=$F25), ROUND(Cp_Database_200!$F25 + Cp_Database_200!$G25*0.5 + Cp_Database_200!$H25*0.25 + Cp_Database_200!$I25*0.125 + Cp_Database_200!$J25/0.25, 2), "-")</f>
        <v>28.79</v>
      </c>
      <c r="J25" s="16">
        <f>IF(AND(600&gt;=$E25, 600&lt;=$F25), ROUND(Cp_Database_200!$F25 + Cp_Database_200!$G25*0.6 + Cp_Database_200!$H25*0.36 + Cp_Database_200!$I25*0.216 + Cp_Database_200!$J25/0.36, 2), "-")</f>
        <v>29.81</v>
      </c>
      <c r="K25" s="16">
        <f>IF(AND(700&gt;=$E25, 700&lt;=$F25), ROUND(Cp_Database_200!$F25 + Cp_Database_200!$G25*0.7 + Cp_Database_200!$H25*0.49 + Cp_Database_200!$I25*0.343 + Cp_Database_200!$J25/0.49, 2), "-")</f>
        <v>30.86</v>
      </c>
      <c r="L25" s="16">
        <f>IF(AND(800&gt;=$E25, 800&lt;=$F25), ROUND(Cp_Database_200!$F25 + Cp_Database_200!$G25*0.8 + Cp_Database_200!$H25*0.64 + Cp_Database_200!$I25*0.512 + Cp_Database_200!$J25/0.64, 2), "-")</f>
        <v>31.93</v>
      </c>
      <c r="M25" s="16">
        <f>IF(AND(1000&gt;=$E25, 1000&lt;=$F25), ROUND(Cp_Database_200!$F25 + Cp_Database_200!$G25*1 + Cp_Database_200!$H25*1 + Cp_Database_200!$I25*1 + Cp_Database_200!$J25/1, 2), "-")</f>
        <v>34.14</v>
      </c>
      <c r="N25" s="16" t="str">
        <f>IF(AND(1200&gt;=$E25, 1200&lt;=$F25), ROUND(Cp_Database_200!$F25 + Cp_Database_200!$G25*1.2 + Cp_Database_200!$H25*1.44 + Cp_Database_200!$I25*1.728 + Cp_Database_200!$J25/1.44, 2), "-")</f>
        <v>-</v>
      </c>
      <c r="O25" s="16" t="str">
        <f>IF(AND(1500&gt;=$E25, 1500&lt;=$F25), ROUND(Cp_Database_200!$F25 + Cp_Database_200!$G25*1.5 + Cp_Database_200!$H25*2.25 + Cp_Database_200!$I25*3.375 + Cp_Database_200!$J25/2.25, 2), "-")</f>
        <v>-</v>
      </c>
      <c r="P25" s="16" t="str">
        <f>IF(AND(2000&gt;=$E25, 2000&lt;=$F25), ROUND(Cp_Database_200!$F25 + Cp_Database_200!$G25*2 + Cp_Database_200!$H25*4 + Cp_Database_200!$I25*8 + Cp_Database_200!$J25/4, 2), "-")</f>
        <v>-</v>
      </c>
    </row>
    <row r="26" spans="1:16" ht="15" x14ac:dyDescent="0.3">
      <c r="A26" s="2">
        <f>Cp_Database_200!A26</f>
        <v>25</v>
      </c>
      <c r="B26" s="3" t="str">
        <f>Cp_Database_200!B26</f>
        <v>Barium</v>
      </c>
      <c r="C26" s="4" t="str">
        <f>Cp_Database_200!C26</f>
        <v>Ba</v>
      </c>
      <c r="D26" s="3" t="str">
        <f>Cp_Database_200!E26</f>
        <v>Metal</v>
      </c>
      <c r="E26" s="6">
        <f>Cp_Database_200!K26</f>
        <v>298</v>
      </c>
      <c r="F26" s="6">
        <f>Cp_Database_200!L26</f>
        <v>583</v>
      </c>
      <c r="G26" s="15">
        <f>IF(AND(298.15&gt;=$E26, 298.15&lt;=$F26), ROUND(Cp_Database_200!$F26 + Cp_Database_200!$G26*0.29815 + Cp_Database_200!$H26*0.08889342 + Cp_Database_200!$I26*0.02650357 + Cp_Database_200!$J26/0.08889342, 2), "-")</f>
        <v>28.11</v>
      </c>
      <c r="H26" s="15">
        <f>IF(AND(400&gt;=$E26, 400&lt;=$F26), ROUND(Cp_Database_200!$F26 + Cp_Database_200!$G26*0.4 + Cp_Database_200!$H26*0.16 + Cp_Database_200!$I26*0.064 + Cp_Database_200!$J26/0.16, 2), "-")</f>
        <v>33.270000000000003</v>
      </c>
      <c r="I26" s="15">
        <f>IF(AND(500&gt;=$E26, 500&lt;=$F26), ROUND(Cp_Database_200!$F26 + Cp_Database_200!$G26*0.5 + Cp_Database_200!$H26*0.25 + Cp_Database_200!$I26*0.125 + Cp_Database_200!$J26/0.25, 2), "-")</f>
        <v>43.73</v>
      </c>
      <c r="J26" s="15" t="str">
        <f>IF(AND(600&gt;=$E26, 600&lt;=$F26), ROUND(Cp_Database_200!$F26 + Cp_Database_200!$G26*0.6 + Cp_Database_200!$H26*0.36 + Cp_Database_200!$I26*0.216 + Cp_Database_200!$J26/0.36, 2), "-")</f>
        <v>-</v>
      </c>
      <c r="K26" s="15" t="str">
        <f>IF(AND(700&gt;=$E26, 700&lt;=$F26), ROUND(Cp_Database_200!$F26 + Cp_Database_200!$G26*0.7 + Cp_Database_200!$H26*0.49 + Cp_Database_200!$I26*0.343 + Cp_Database_200!$J26/0.49, 2), "-")</f>
        <v>-</v>
      </c>
      <c r="L26" s="15" t="str">
        <f>IF(AND(800&gt;=$E26, 800&lt;=$F26), ROUND(Cp_Database_200!$F26 + Cp_Database_200!$G26*0.8 + Cp_Database_200!$H26*0.64 + Cp_Database_200!$I26*0.512 + Cp_Database_200!$J26/0.64, 2), "-")</f>
        <v>-</v>
      </c>
      <c r="M26" s="15" t="str">
        <f>IF(AND(1000&gt;=$E26, 1000&lt;=$F26), ROUND(Cp_Database_200!$F26 + Cp_Database_200!$G26*1 + Cp_Database_200!$H26*1 + Cp_Database_200!$I26*1 + Cp_Database_200!$J26/1, 2), "-")</f>
        <v>-</v>
      </c>
      <c r="N26" s="15" t="str">
        <f>IF(AND(1200&gt;=$E26, 1200&lt;=$F26), ROUND(Cp_Database_200!$F26 + Cp_Database_200!$G26*1.2 + Cp_Database_200!$H26*1.44 + Cp_Database_200!$I26*1.728 + Cp_Database_200!$J26/1.44, 2), "-")</f>
        <v>-</v>
      </c>
      <c r="O26" s="15" t="str">
        <f>IF(AND(1500&gt;=$E26, 1500&lt;=$F26), ROUND(Cp_Database_200!$F26 + Cp_Database_200!$G26*1.5 + Cp_Database_200!$H26*2.25 + Cp_Database_200!$I26*3.375 + Cp_Database_200!$J26/2.25, 2), "-")</f>
        <v>-</v>
      </c>
      <c r="P26" s="15" t="str">
        <f>IF(AND(2000&gt;=$E26, 2000&lt;=$F26), ROUND(Cp_Database_200!$F26 + Cp_Database_200!$G26*2 + Cp_Database_200!$H26*4 + Cp_Database_200!$I26*8 + Cp_Database_200!$J26/4, 2), "-")</f>
        <v>-</v>
      </c>
    </row>
    <row r="27" spans="1:16" ht="15" x14ac:dyDescent="0.3">
      <c r="A27" s="8">
        <f>Cp_Database_200!A27</f>
        <v>26</v>
      </c>
      <c r="B27" s="9" t="str">
        <f>Cp_Database_200!B27</f>
        <v>Aluminium Oxide</v>
      </c>
      <c r="C27" s="10" t="str">
        <f>Cp_Database_200!C27</f>
        <v>Al2O3</v>
      </c>
      <c r="D27" s="9" t="str">
        <f>Cp_Database_200!E27</f>
        <v>Ceramic (Oxide)</v>
      </c>
      <c r="E27" s="12">
        <f>Cp_Database_200!K27</f>
        <v>298</v>
      </c>
      <c r="F27" s="12">
        <f>Cp_Database_200!L27</f>
        <v>2327</v>
      </c>
      <c r="G27" s="16">
        <f>IF(AND(298.15&gt;=$E27, 298.15&lt;=$F27), ROUND(Cp_Database_200!$F27 + Cp_Database_200!$G27*0.29815 + Cp_Database_200!$H27*0.08889342 + Cp_Database_200!$I27*0.02650357 + Cp_Database_200!$J27/0.08889342, 2), "-")</f>
        <v>78.8</v>
      </c>
      <c r="H27" s="16">
        <f>IF(AND(400&gt;=$E27, 400&lt;=$F27), ROUND(Cp_Database_200!$F27 + Cp_Database_200!$G27*0.4 + Cp_Database_200!$H27*0.16 + Cp_Database_200!$I27*0.064 + Cp_Database_200!$J27/0.16, 2), "-")</f>
        <v>96.75</v>
      </c>
      <c r="I27" s="16">
        <f>IF(AND(500&gt;=$E27, 500&lt;=$F27), ROUND(Cp_Database_200!$F27 + Cp_Database_200!$G27*0.5 + Cp_Database_200!$H27*0.25 + Cp_Database_200!$I27*0.125 + Cp_Database_200!$J27/0.25, 2), "-")</f>
        <v>106.12</v>
      </c>
      <c r="J27" s="16">
        <f>IF(AND(600&gt;=$E27, 600&lt;=$F27), ROUND(Cp_Database_200!$F27 + Cp_Database_200!$G27*0.6 + Cp_Database_200!$H27*0.36 + Cp_Database_200!$I27*0.216 + Cp_Database_200!$J27/0.36, 2), "-")</f>
        <v>112.16</v>
      </c>
      <c r="K27" s="16">
        <f>IF(AND(700&gt;=$E27, 700&lt;=$F27), ROUND(Cp_Database_200!$F27 + Cp_Database_200!$G27*0.7 + Cp_Database_200!$H27*0.49 + Cp_Database_200!$I27*0.343 + Cp_Database_200!$J27/0.49, 2), "-")</f>
        <v>116.52</v>
      </c>
      <c r="L27" s="16">
        <f>IF(AND(800&gt;=$E27, 800&lt;=$F27), ROUND(Cp_Database_200!$F27 + Cp_Database_200!$G27*0.8 + Cp_Database_200!$H27*0.64 + Cp_Database_200!$I27*0.512 + Cp_Database_200!$J27/0.64, 2), "-")</f>
        <v>119.89</v>
      </c>
      <c r="M27" s="16">
        <f>IF(AND(1000&gt;=$E27, 1000&lt;=$F27), ROUND(Cp_Database_200!$F27 + Cp_Database_200!$G27*1 + Cp_Database_200!$H27*1 + Cp_Database_200!$I27*1 + Cp_Database_200!$J27/1, 2), "-")</f>
        <v>124.89</v>
      </c>
      <c r="N27" s="16">
        <f>IF(AND(1200&gt;=$E27, 1200&lt;=$F27), ROUND(Cp_Database_200!$F27 + Cp_Database_200!$G27*1.2 + Cp_Database_200!$H27*1.44 + Cp_Database_200!$I27*1.728 + Cp_Database_200!$J27/1.44, 2), "-")</f>
        <v>128.47</v>
      </c>
      <c r="O27" s="16">
        <f>IF(AND(1500&gt;=$E27, 1500&lt;=$F27), ROUND(Cp_Database_200!$F27 + Cp_Database_200!$G27*1.5 + Cp_Database_200!$H27*2.25 + Cp_Database_200!$I27*3.375 + Cp_Database_200!$J27/2.25, 2), "-")</f>
        <v>132.29</v>
      </c>
      <c r="P27" s="16">
        <f>IF(AND(2000&gt;=$E27, 2000&lt;=$F27), ROUND(Cp_Database_200!$F27 + Cp_Database_200!$G27*2 + Cp_Database_200!$H27*4 + Cp_Database_200!$I27*8 + Cp_Database_200!$J27/4, 2), "-")</f>
        <v>136.56</v>
      </c>
    </row>
    <row r="28" spans="1:16" ht="15" x14ac:dyDescent="0.3">
      <c r="A28" s="2">
        <f>Cp_Database_200!A28</f>
        <v>27</v>
      </c>
      <c r="B28" s="3" t="str">
        <f>Cp_Database_200!B28</f>
        <v>Silicon Dioxide (alpha-quartz)</v>
      </c>
      <c r="C28" s="4" t="str">
        <f>Cp_Database_200!C28</f>
        <v>SiO2</v>
      </c>
      <c r="D28" s="3" t="str">
        <f>Cp_Database_200!E28</f>
        <v>Ceramic (Oxide)</v>
      </c>
      <c r="E28" s="6">
        <f>Cp_Database_200!K28</f>
        <v>298</v>
      </c>
      <c r="F28" s="6">
        <f>Cp_Database_200!L28</f>
        <v>847</v>
      </c>
      <c r="G28" s="15">
        <f>IF(AND(298.15&gt;=$E28, 298.15&lt;=$F28), ROUND(Cp_Database_200!$F28 + Cp_Database_200!$G28*0.29815 + Cp_Database_200!$H28*0.08889342 + Cp_Database_200!$I28*0.02650357 + Cp_Database_200!$J28/0.08889342, 2), "-")</f>
        <v>44.58</v>
      </c>
      <c r="H28" s="15">
        <f>IF(AND(400&gt;=$E28, 400&lt;=$F28), ROUND(Cp_Database_200!$F28 + Cp_Database_200!$G28*0.4 + Cp_Database_200!$H28*0.16 + Cp_Database_200!$I28*0.064 + Cp_Database_200!$J28/0.16, 2), "-")</f>
        <v>53.43</v>
      </c>
      <c r="I28" s="15">
        <f>IF(AND(500&gt;=$E28, 500&lt;=$F28), ROUND(Cp_Database_200!$F28 + Cp_Database_200!$G28*0.5 + Cp_Database_200!$H28*0.25 + Cp_Database_200!$I28*0.125 + Cp_Database_200!$J28/0.25, 2), "-")</f>
        <v>59.64</v>
      </c>
      <c r="J28" s="15">
        <f>IF(AND(600&gt;=$E28, 600&lt;=$F28), ROUND(Cp_Database_200!$F28 + Cp_Database_200!$G28*0.6 + Cp_Database_200!$H28*0.36 + Cp_Database_200!$I28*0.216 + Cp_Database_200!$J28/0.36, 2), "-")</f>
        <v>64.42</v>
      </c>
      <c r="K28" s="15">
        <f>IF(AND(700&gt;=$E28, 700&lt;=$F28), ROUND(Cp_Database_200!$F28 + Cp_Database_200!$G28*0.7 + Cp_Database_200!$H28*0.49 + Cp_Database_200!$I28*0.343 + Cp_Database_200!$J28/0.49, 2), "-")</f>
        <v>68.77</v>
      </c>
      <c r="L28" s="15">
        <f>IF(AND(800&gt;=$E28, 800&lt;=$F28), ROUND(Cp_Database_200!$F28 + Cp_Database_200!$G28*0.8 + Cp_Database_200!$H28*0.64 + Cp_Database_200!$I28*0.512 + Cp_Database_200!$J28/0.64, 2), "-")</f>
        <v>73.7</v>
      </c>
      <c r="M28" s="15" t="str">
        <f>IF(AND(1000&gt;=$E28, 1000&lt;=$F28), ROUND(Cp_Database_200!$F28 + Cp_Database_200!$G28*1 + Cp_Database_200!$H28*1 + Cp_Database_200!$I28*1 + Cp_Database_200!$J28/1, 2), "-")</f>
        <v>-</v>
      </c>
      <c r="N28" s="15" t="str">
        <f>IF(AND(1200&gt;=$E28, 1200&lt;=$F28), ROUND(Cp_Database_200!$F28 + Cp_Database_200!$G28*1.2 + Cp_Database_200!$H28*1.44 + Cp_Database_200!$I28*1.728 + Cp_Database_200!$J28/1.44, 2), "-")</f>
        <v>-</v>
      </c>
      <c r="O28" s="15" t="str">
        <f>IF(AND(1500&gt;=$E28, 1500&lt;=$F28), ROUND(Cp_Database_200!$F28 + Cp_Database_200!$G28*1.5 + Cp_Database_200!$H28*2.25 + Cp_Database_200!$I28*3.375 + Cp_Database_200!$J28/2.25, 2), "-")</f>
        <v>-</v>
      </c>
      <c r="P28" s="15" t="str">
        <f>IF(AND(2000&gt;=$E28, 2000&lt;=$F28), ROUND(Cp_Database_200!$F28 + Cp_Database_200!$G28*2 + Cp_Database_200!$H28*4 + Cp_Database_200!$I28*8 + Cp_Database_200!$J28/4, 2), "-")</f>
        <v>-</v>
      </c>
    </row>
    <row r="29" spans="1:16" ht="15" x14ac:dyDescent="0.3">
      <c r="A29" s="8">
        <f>Cp_Database_200!A29</f>
        <v>28</v>
      </c>
      <c r="B29" s="9" t="str">
        <f>Cp_Database_200!B29</f>
        <v>Titanium Dioxide</v>
      </c>
      <c r="C29" s="10" t="str">
        <f>Cp_Database_200!C29</f>
        <v>TiO2</v>
      </c>
      <c r="D29" s="9" t="str">
        <f>Cp_Database_200!E29</f>
        <v>Ceramic (Oxide)</v>
      </c>
      <c r="E29" s="12">
        <f>Cp_Database_200!K29</f>
        <v>298</v>
      </c>
      <c r="F29" s="12">
        <f>Cp_Database_200!L29</f>
        <v>2000</v>
      </c>
      <c r="G29" s="16">
        <f>IF(AND(298.15&gt;=$E29, 298.15&lt;=$F29), ROUND(Cp_Database_200!$F29 + Cp_Database_200!$G29*0.29815 + Cp_Database_200!$H29*0.08889342 + Cp_Database_200!$I29*0.02650357 + Cp_Database_200!$J29/0.08889342, 2), "-")</f>
        <v>55.21</v>
      </c>
      <c r="H29" s="16">
        <f>IF(AND(400&gt;=$E29, 400&lt;=$F29), ROUND(Cp_Database_200!$F29 + Cp_Database_200!$G29*0.4 + Cp_Database_200!$H29*0.16 + Cp_Database_200!$I29*0.064 + Cp_Database_200!$J29/0.16, 2), "-")</f>
        <v>63.83</v>
      </c>
      <c r="I29" s="16">
        <f>IF(AND(500&gt;=$E29, 500&lt;=$F29), ROUND(Cp_Database_200!$F29 + Cp_Database_200!$G29*0.5 + Cp_Database_200!$H29*0.25 + Cp_Database_200!$I29*0.125 + Cp_Database_200!$J29/0.25, 2), "-")</f>
        <v>68.14</v>
      </c>
      <c r="J29" s="16">
        <f>IF(AND(600&gt;=$E29, 600&lt;=$F29), ROUND(Cp_Database_200!$F29 + Cp_Database_200!$G29*0.6 + Cp_Database_200!$H29*0.36 + Cp_Database_200!$I29*0.216 + Cp_Database_200!$J29/0.36, 2), "-")</f>
        <v>70.77</v>
      </c>
      <c r="K29" s="16">
        <f>IF(AND(700&gt;=$E29, 700&lt;=$F29), ROUND(Cp_Database_200!$F29 + Cp_Database_200!$G29*0.7 + Cp_Database_200!$H29*0.49 + Cp_Database_200!$I29*0.343 + Cp_Database_200!$J29/0.49, 2), "-")</f>
        <v>72.540000000000006</v>
      </c>
      <c r="L29" s="16">
        <f>IF(AND(800&gt;=$E29, 800&lt;=$F29), ROUND(Cp_Database_200!$F29 + Cp_Database_200!$G29*0.8 + Cp_Database_200!$H29*0.64 + Cp_Database_200!$I29*0.512 + Cp_Database_200!$J29/0.64, 2), "-")</f>
        <v>73.790000000000006</v>
      </c>
      <c r="M29" s="16">
        <f>IF(AND(1000&gt;=$E29, 1000&lt;=$F29), ROUND(Cp_Database_200!$F29 + Cp_Database_200!$G29*1 + Cp_Database_200!$H29*1 + Cp_Database_200!$I29*1 + Cp_Database_200!$J29/1, 2), "-")</f>
        <v>75.39</v>
      </c>
      <c r="N29" s="16">
        <f>IF(AND(1200&gt;=$E29, 1200&lt;=$F29), ROUND(Cp_Database_200!$F29 + Cp_Database_200!$G29*1.2 + Cp_Database_200!$H29*1.44 + Cp_Database_200!$I29*1.728 + Cp_Database_200!$J29/1.44, 2), "-")</f>
        <v>76.28</v>
      </c>
      <c r="O29" s="16">
        <f>IF(AND(1500&gt;=$E29, 1500&lt;=$F29), ROUND(Cp_Database_200!$F29 + Cp_Database_200!$G29*1.5 + Cp_Database_200!$H29*2.25 + Cp_Database_200!$I29*3.375 + Cp_Database_200!$J29/2.25, 2), "-")</f>
        <v>76.92</v>
      </c>
      <c r="P29" s="16">
        <f>IF(AND(2000&gt;=$E29, 2000&lt;=$F29), ROUND(Cp_Database_200!$F29 + Cp_Database_200!$G29*2 + Cp_Database_200!$H29*4 + Cp_Database_200!$I29*8 + Cp_Database_200!$J29/4, 2), "-")</f>
        <v>77.62</v>
      </c>
    </row>
    <row r="30" spans="1:16" ht="15" x14ac:dyDescent="0.3">
      <c r="A30" s="2">
        <f>Cp_Database_200!A30</f>
        <v>29</v>
      </c>
      <c r="B30" s="3" t="str">
        <f>Cp_Database_200!B30</f>
        <v>Zirconium Dioxide</v>
      </c>
      <c r="C30" s="4" t="str">
        <f>Cp_Database_200!C30</f>
        <v>ZrO2</v>
      </c>
      <c r="D30" s="3" t="str">
        <f>Cp_Database_200!E30</f>
        <v>Refractory &amp; Mineral</v>
      </c>
      <c r="E30" s="6">
        <f>Cp_Database_200!K30</f>
        <v>298</v>
      </c>
      <c r="F30" s="6">
        <f>Cp_Database_200!L30</f>
        <v>1478</v>
      </c>
      <c r="G30" s="15">
        <f>IF(AND(298.15&gt;=$E30, 298.15&lt;=$F30), ROUND(Cp_Database_200!$F30 + Cp_Database_200!$G30*0.29815 + Cp_Database_200!$H30*0.08889342 + Cp_Database_200!$I30*0.02650357 + Cp_Database_200!$J30/0.08889342, 2), "-")</f>
        <v>56.12</v>
      </c>
      <c r="H30" s="15">
        <f>IF(AND(400&gt;=$E30, 400&lt;=$F30), ROUND(Cp_Database_200!$F30 + Cp_Database_200!$G30*0.4 + Cp_Database_200!$H30*0.16 + Cp_Database_200!$I30*0.064 + Cp_Database_200!$J30/0.16, 2), "-")</f>
        <v>63.85</v>
      </c>
      <c r="I30" s="15">
        <f>IF(AND(500&gt;=$E30, 500&lt;=$F30), ROUND(Cp_Database_200!$F30 + Cp_Database_200!$G30*0.5 + Cp_Database_200!$H30*0.25 + Cp_Database_200!$I30*0.125 + Cp_Database_200!$J30/0.25, 2), "-")</f>
        <v>67.760000000000005</v>
      </c>
      <c r="J30" s="15">
        <f>IF(AND(600&gt;=$E30, 600&lt;=$F30), ROUND(Cp_Database_200!$F30 + Cp_Database_200!$G30*0.6 + Cp_Database_200!$H30*0.36 + Cp_Database_200!$I30*0.216 + Cp_Database_200!$J30/0.36, 2), "-")</f>
        <v>70.23</v>
      </c>
      <c r="K30" s="15">
        <f>IF(AND(700&gt;=$E30, 700&lt;=$F30), ROUND(Cp_Database_200!$F30 + Cp_Database_200!$G30*0.7 + Cp_Database_200!$H30*0.49 + Cp_Database_200!$I30*0.343 + Cp_Database_200!$J30/0.49, 2), "-")</f>
        <v>72.02</v>
      </c>
      <c r="L30" s="15">
        <f>IF(AND(800&gt;=$E30, 800&lt;=$F30), ROUND(Cp_Database_200!$F30 + Cp_Database_200!$G30*0.8 + Cp_Database_200!$H30*0.64 + Cp_Database_200!$I30*0.512 + Cp_Database_200!$J30/0.64, 2), "-")</f>
        <v>73.45</v>
      </c>
      <c r="M30" s="15">
        <f>IF(AND(1000&gt;=$E30, 1000&lt;=$F30), ROUND(Cp_Database_200!$F30 + Cp_Database_200!$G30*1 + Cp_Database_200!$H30*1 + Cp_Database_200!$I30*1 + Cp_Database_200!$J30/1, 2), "-")</f>
        <v>75.75</v>
      </c>
      <c r="N30" s="15">
        <f>IF(AND(1200&gt;=$E30, 1200&lt;=$F30), ROUND(Cp_Database_200!$F30 + Cp_Database_200!$G30*1.2 + Cp_Database_200!$H30*1.44 + Cp_Database_200!$I30*1.728 + Cp_Database_200!$J30/1.44, 2), "-")</f>
        <v>77.680000000000007</v>
      </c>
      <c r="O30" s="15" t="str">
        <f>IF(AND(1500&gt;=$E30, 1500&lt;=$F30), ROUND(Cp_Database_200!$F30 + Cp_Database_200!$G30*1.5 + Cp_Database_200!$H30*2.25 + Cp_Database_200!$I30*3.375 + Cp_Database_200!$J30/2.25, 2), "-")</f>
        <v>-</v>
      </c>
      <c r="P30" s="15" t="str">
        <f>IF(AND(2000&gt;=$E30, 2000&lt;=$F30), ROUND(Cp_Database_200!$F30 + Cp_Database_200!$G30*2 + Cp_Database_200!$H30*4 + Cp_Database_200!$I30*8 + Cp_Database_200!$J30/4, 2), "-")</f>
        <v>-</v>
      </c>
    </row>
    <row r="31" spans="1:16" ht="15" x14ac:dyDescent="0.3">
      <c r="A31" s="8">
        <f>Cp_Database_200!A31</f>
        <v>30</v>
      </c>
      <c r="B31" s="9" t="str">
        <f>Cp_Database_200!B31</f>
        <v>Magnesium Oxide</v>
      </c>
      <c r="C31" s="10" t="str">
        <f>Cp_Database_200!C31</f>
        <v>MgO</v>
      </c>
      <c r="D31" s="9" t="str">
        <f>Cp_Database_200!E31</f>
        <v>Refractory &amp; Mineral</v>
      </c>
      <c r="E31" s="12">
        <f>Cp_Database_200!K31</f>
        <v>298</v>
      </c>
      <c r="F31" s="12">
        <f>Cp_Database_200!L31</f>
        <v>3105</v>
      </c>
      <c r="G31" s="16">
        <f>IF(AND(298.15&gt;=$E31, 298.15&lt;=$F31), ROUND(Cp_Database_200!$F31 + Cp_Database_200!$G31*0.29815 + Cp_Database_200!$H31*0.08889342 + Cp_Database_200!$I31*0.02650357 + Cp_Database_200!$J31/0.08889342, 2), "-")</f>
        <v>37.020000000000003</v>
      </c>
      <c r="H31" s="16">
        <f>IF(AND(400&gt;=$E31, 400&lt;=$F31), ROUND(Cp_Database_200!$F31 + Cp_Database_200!$G31*0.4 + Cp_Database_200!$H31*0.16 + Cp_Database_200!$I31*0.064 + Cp_Database_200!$J31/0.16, 2), "-")</f>
        <v>42.81</v>
      </c>
      <c r="I31" s="16">
        <f>IF(AND(500&gt;=$E31, 500&lt;=$F31), ROUND(Cp_Database_200!$F31 + Cp_Database_200!$G31*0.5 + Cp_Database_200!$H31*0.25 + Cp_Database_200!$I31*0.125 + Cp_Database_200!$J31/0.25, 2), "-")</f>
        <v>45.68</v>
      </c>
      <c r="J31" s="16">
        <f>IF(AND(600&gt;=$E31, 600&lt;=$F31), ROUND(Cp_Database_200!$F31 + Cp_Database_200!$G31*0.6 + Cp_Database_200!$H31*0.36 + Cp_Database_200!$I31*0.216 + Cp_Database_200!$J31/0.36, 2), "-")</f>
        <v>47.45</v>
      </c>
      <c r="K31" s="16">
        <f>IF(AND(700&gt;=$E31, 700&lt;=$F31), ROUND(Cp_Database_200!$F31 + Cp_Database_200!$G31*0.7 + Cp_Database_200!$H31*0.49 + Cp_Database_200!$I31*0.343 + Cp_Database_200!$J31/0.49, 2), "-")</f>
        <v>48.69</v>
      </c>
      <c r="L31" s="16">
        <f>IF(AND(800&gt;=$E31, 800&lt;=$F31), ROUND(Cp_Database_200!$F31 + Cp_Database_200!$G31*0.8 + Cp_Database_200!$H31*0.64 + Cp_Database_200!$I31*0.512 + Cp_Database_200!$J31/0.64, 2), "-")</f>
        <v>49.65</v>
      </c>
      <c r="M31" s="16">
        <f>IF(AND(1000&gt;=$E31, 1000&lt;=$F31), ROUND(Cp_Database_200!$F31 + Cp_Database_200!$G31*1 + Cp_Database_200!$H31*1 + Cp_Database_200!$I31*1 + Cp_Database_200!$J31/1, 2), "-")</f>
        <v>51.12</v>
      </c>
      <c r="N31" s="16">
        <f>IF(AND(1200&gt;=$E31, 1200&lt;=$F31), ROUND(Cp_Database_200!$F31 + Cp_Database_200!$G31*1.2 + Cp_Database_200!$H31*1.44 + Cp_Database_200!$I31*1.728 + Cp_Database_200!$J31/1.44, 2), "-")</f>
        <v>52.27</v>
      </c>
      <c r="O31" s="16">
        <f>IF(AND(1500&gt;=$E31, 1500&lt;=$F31), ROUND(Cp_Database_200!$F31 + Cp_Database_200!$G31*1.5 + Cp_Database_200!$H31*2.25 + Cp_Database_200!$I31*3.375 + Cp_Database_200!$J31/2.25, 2), "-")</f>
        <v>53.7</v>
      </c>
      <c r="P31" s="16">
        <f>IF(AND(2000&gt;=$E31, 2000&lt;=$F31), ROUND(Cp_Database_200!$F31 + Cp_Database_200!$G31*2 + Cp_Database_200!$H31*4 + Cp_Database_200!$I31*8 + Cp_Database_200!$J31/4, 2), "-")</f>
        <v>55.7</v>
      </c>
    </row>
    <row r="32" spans="1:16" ht="15" x14ac:dyDescent="0.3">
      <c r="A32" s="2">
        <f>Cp_Database_200!A32</f>
        <v>31</v>
      </c>
      <c r="B32" s="3" t="str">
        <f>Cp_Database_200!B32</f>
        <v>Calcium Oxide (lime)</v>
      </c>
      <c r="C32" s="4" t="str">
        <f>Cp_Database_200!C32</f>
        <v>CaO</v>
      </c>
      <c r="D32" s="3" t="str">
        <f>Cp_Database_200!E32</f>
        <v>Refractory &amp; Mineral</v>
      </c>
      <c r="E32" s="6">
        <f>Cp_Database_200!K32</f>
        <v>298</v>
      </c>
      <c r="F32" s="6">
        <f>Cp_Database_200!L32</f>
        <v>3200</v>
      </c>
      <c r="G32" s="15">
        <f>IF(AND(298.15&gt;=$E32, 298.15&lt;=$F32), ROUND(Cp_Database_200!$F32 + Cp_Database_200!$G32*0.29815 + Cp_Database_200!$H32*0.08889342 + Cp_Database_200!$I32*0.02650357 + Cp_Database_200!$J32/0.08889342, 2), "-")</f>
        <v>42.1</v>
      </c>
      <c r="H32" s="15">
        <f>IF(AND(400&gt;=$E32, 400&lt;=$F32), ROUND(Cp_Database_200!$F32 + Cp_Database_200!$G32*0.4 + Cp_Database_200!$H32*0.16 + Cp_Database_200!$I32*0.064 + Cp_Database_200!$J32/0.16, 2), "-")</f>
        <v>46.7</v>
      </c>
      <c r="I32" s="15">
        <f>IF(AND(500&gt;=$E32, 500&lt;=$F32), ROUND(Cp_Database_200!$F32 + Cp_Database_200!$G32*0.5 + Cp_Database_200!$H32*0.25 + Cp_Database_200!$I32*0.125 + Cp_Database_200!$J32/0.25, 2), "-")</f>
        <v>49.02</v>
      </c>
      <c r="J32" s="15">
        <f>IF(AND(600&gt;=$E32, 600&lt;=$F32), ROUND(Cp_Database_200!$F32 + Cp_Database_200!$G32*0.6 + Cp_Database_200!$H32*0.36 + Cp_Database_200!$I32*0.216 + Cp_Database_200!$J32/0.36, 2), "-")</f>
        <v>50.48</v>
      </c>
      <c r="K32" s="15">
        <f>IF(AND(700&gt;=$E32, 700&lt;=$F32), ROUND(Cp_Database_200!$F32 + Cp_Database_200!$G32*0.7 + Cp_Database_200!$H32*0.49 + Cp_Database_200!$I32*0.343 + Cp_Database_200!$J32/0.49, 2), "-")</f>
        <v>51.54</v>
      </c>
      <c r="L32" s="15">
        <f>IF(AND(800&gt;=$E32, 800&lt;=$F32), ROUND(Cp_Database_200!$F32 + Cp_Database_200!$G32*0.8 + Cp_Database_200!$H32*0.64 + Cp_Database_200!$I32*0.512 + Cp_Database_200!$J32/0.64, 2), "-")</f>
        <v>52.37</v>
      </c>
      <c r="M32" s="15">
        <f>IF(AND(1000&gt;=$E32, 1000&lt;=$F32), ROUND(Cp_Database_200!$F32 + Cp_Database_200!$G32*1 + Cp_Database_200!$H32*1 + Cp_Database_200!$I32*1 + Cp_Database_200!$J32/1, 2), "-")</f>
        <v>53.71</v>
      </c>
      <c r="N32" s="15">
        <f>IF(AND(1200&gt;=$E32, 1200&lt;=$F32), ROUND(Cp_Database_200!$F32 + Cp_Database_200!$G32*1.2 + Cp_Database_200!$H32*1.44 + Cp_Database_200!$I32*1.728 + Cp_Database_200!$J32/1.44, 2), "-")</f>
        <v>54.82</v>
      </c>
      <c r="O32" s="15">
        <f>IF(AND(1500&gt;=$E32, 1500&lt;=$F32), ROUND(Cp_Database_200!$F32 + Cp_Database_200!$G32*1.5 + Cp_Database_200!$H32*2.25 + Cp_Database_200!$I32*3.375 + Cp_Database_200!$J32/2.25, 2), "-")</f>
        <v>56.28</v>
      </c>
      <c r="P32" s="15">
        <f>IF(AND(2000&gt;=$E32, 2000&lt;=$F32), ROUND(Cp_Database_200!$F32 + Cp_Database_200!$G32*2 + Cp_Database_200!$H32*4 + Cp_Database_200!$I32*8 + Cp_Database_200!$J32/4, 2), "-")</f>
        <v>58.48</v>
      </c>
    </row>
    <row r="33" spans="1:16" ht="15" x14ac:dyDescent="0.3">
      <c r="A33" s="8">
        <f>Cp_Database_200!A33</f>
        <v>32</v>
      </c>
      <c r="B33" s="9" t="str">
        <f>Cp_Database_200!B33</f>
        <v>Iron(II) Oxide</v>
      </c>
      <c r="C33" s="10" t="str">
        <f>Cp_Database_200!C33</f>
        <v>FeO</v>
      </c>
      <c r="D33" s="9" t="str">
        <f>Cp_Database_200!E33</f>
        <v>Ceramic (Oxide)</v>
      </c>
      <c r="E33" s="12">
        <f>Cp_Database_200!K33</f>
        <v>298</v>
      </c>
      <c r="F33" s="12">
        <f>Cp_Database_200!L33</f>
        <v>1650</v>
      </c>
      <c r="G33" s="16">
        <f>IF(AND(298.15&gt;=$E33, 298.15&lt;=$F33), ROUND(Cp_Database_200!$F33 + Cp_Database_200!$G33*0.29815 + Cp_Database_200!$H33*0.08889342 + Cp_Database_200!$I33*0.02650357 + Cp_Database_200!$J33/0.08889342, 2), "-")</f>
        <v>49.93</v>
      </c>
      <c r="H33" s="16">
        <f>IF(AND(400&gt;=$E33, 400&lt;=$F33), ROUND(Cp_Database_200!$F33 + Cp_Database_200!$G33*0.4 + Cp_Database_200!$H33*0.16 + Cp_Database_200!$I33*0.064 + Cp_Database_200!$J33/0.16, 2), "-")</f>
        <v>51.86</v>
      </c>
      <c r="I33" s="16">
        <f>IF(AND(500&gt;=$E33, 500&lt;=$F33), ROUND(Cp_Database_200!$F33 + Cp_Database_200!$G33*0.5 + Cp_Database_200!$H33*0.25 + Cp_Database_200!$I33*0.125 + Cp_Database_200!$J33/0.25, 2), "-")</f>
        <v>53.44</v>
      </c>
      <c r="J33" s="16">
        <f>IF(AND(600&gt;=$E33, 600&lt;=$F33), ROUND(Cp_Database_200!$F33 + Cp_Database_200!$G33*0.6 + Cp_Database_200!$H33*0.36 + Cp_Database_200!$I33*0.216 + Cp_Database_200!$J33/0.36, 2), "-")</f>
        <v>54.84</v>
      </c>
      <c r="K33" s="16">
        <f>IF(AND(700&gt;=$E33, 700&lt;=$F33), ROUND(Cp_Database_200!$F33 + Cp_Database_200!$G33*0.7 + Cp_Database_200!$H33*0.49 + Cp_Database_200!$I33*0.343 + Cp_Database_200!$J33/0.49, 2), "-")</f>
        <v>56.11</v>
      </c>
      <c r="L33" s="16">
        <f>IF(AND(800&gt;=$E33, 800&lt;=$F33), ROUND(Cp_Database_200!$F33 + Cp_Database_200!$G33*0.8 + Cp_Database_200!$H33*0.64 + Cp_Database_200!$I33*0.512 + Cp_Database_200!$J33/0.64, 2), "-")</f>
        <v>57.28</v>
      </c>
      <c r="M33" s="16">
        <f>IF(AND(1000&gt;=$E33, 1000&lt;=$F33), ROUND(Cp_Database_200!$F33 + Cp_Database_200!$G33*1 + Cp_Database_200!$H33*1 + Cp_Database_200!$I33*1 + Cp_Database_200!$J33/1, 2), "-")</f>
        <v>59.36</v>
      </c>
      <c r="N33" s="16">
        <f>IF(AND(1200&gt;=$E33, 1200&lt;=$F33), ROUND(Cp_Database_200!$F33 + Cp_Database_200!$G33*1.2 + Cp_Database_200!$H33*1.44 + Cp_Database_200!$I33*1.728 + Cp_Database_200!$J33/1.44, 2), "-")</f>
        <v>61.14</v>
      </c>
      <c r="O33" s="16">
        <f>IF(AND(1500&gt;=$E33, 1500&lt;=$F33), ROUND(Cp_Database_200!$F33 + Cp_Database_200!$G33*1.5 + Cp_Database_200!$H33*2.25 + Cp_Database_200!$I33*3.375 + Cp_Database_200!$J33/2.25, 2), "-")</f>
        <v>63.38</v>
      </c>
      <c r="P33" s="16" t="str">
        <f>IF(AND(2000&gt;=$E33, 2000&lt;=$F33), ROUND(Cp_Database_200!$F33 + Cp_Database_200!$G33*2 + Cp_Database_200!$H33*4 + Cp_Database_200!$I33*8 + Cp_Database_200!$J33/4, 2), "-")</f>
        <v>-</v>
      </c>
    </row>
    <row r="34" spans="1:16" ht="15" x14ac:dyDescent="0.3">
      <c r="A34" s="2">
        <f>Cp_Database_200!A34</f>
        <v>33</v>
      </c>
      <c r="B34" s="3" t="str">
        <f>Cp_Database_200!B34</f>
        <v>Chromium(III) Oxide</v>
      </c>
      <c r="C34" s="4" t="str">
        <f>Cp_Database_200!C34</f>
        <v>Cr2O3</v>
      </c>
      <c r="D34" s="3" t="str">
        <f>Cp_Database_200!E34</f>
        <v>Refractory &amp; Mineral</v>
      </c>
      <c r="E34" s="6">
        <f>Cp_Database_200!K34</f>
        <v>298</v>
      </c>
      <c r="F34" s="6">
        <f>Cp_Database_200!L34</f>
        <v>305</v>
      </c>
      <c r="G34" s="15">
        <f>IF(AND(298.15&gt;=$E34, 298.15&lt;=$F34), ROUND(Cp_Database_200!$F34 + Cp_Database_200!$G34*0.29815 + Cp_Database_200!$H34*0.08889342 + Cp_Database_200!$I34*0.02650357 + Cp_Database_200!$J34/0.08889342, 2), "-")</f>
        <v>120.32</v>
      </c>
      <c r="H34" s="15" t="str">
        <f>IF(AND(400&gt;=$E34, 400&lt;=$F34), ROUND(Cp_Database_200!$F34 + Cp_Database_200!$G34*0.4 + Cp_Database_200!$H34*0.16 + Cp_Database_200!$I34*0.064 + Cp_Database_200!$J34/0.16, 2), "-")</f>
        <v>-</v>
      </c>
      <c r="I34" s="15" t="str">
        <f>IF(AND(500&gt;=$E34, 500&lt;=$F34), ROUND(Cp_Database_200!$F34 + Cp_Database_200!$G34*0.5 + Cp_Database_200!$H34*0.25 + Cp_Database_200!$I34*0.125 + Cp_Database_200!$J34/0.25, 2), "-")</f>
        <v>-</v>
      </c>
      <c r="J34" s="15" t="str">
        <f>IF(AND(600&gt;=$E34, 600&lt;=$F34), ROUND(Cp_Database_200!$F34 + Cp_Database_200!$G34*0.6 + Cp_Database_200!$H34*0.36 + Cp_Database_200!$I34*0.216 + Cp_Database_200!$J34/0.36, 2), "-")</f>
        <v>-</v>
      </c>
      <c r="K34" s="15" t="str">
        <f>IF(AND(700&gt;=$E34, 700&lt;=$F34), ROUND(Cp_Database_200!$F34 + Cp_Database_200!$G34*0.7 + Cp_Database_200!$H34*0.49 + Cp_Database_200!$I34*0.343 + Cp_Database_200!$J34/0.49, 2), "-")</f>
        <v>-</v>
      </c>
      <c r="L34" s="15" t="str">
        <f>IF(AND(800&gt;=$E34, 800&lt;=$F34), ROUND(Cp_Database_200!$F34 + Cp_Database_200!$G34*0.8 + Cp_Database_200!$H34*0.64 + Cp_Database_200!$I34*0.512 + Cp_Database_200!$J34/0.64, 2), "-")</f>
        <v>-</v>
      </c>
      <c r="M34" s="15" t="str">
        <f>IF(AND(1000&gt;=$E34, 1000&lt;=$F34), ROUND(Cp_Database_200!$F34 + Cp_Database_200!$G34*1 + Cp_Database_200!$H34*1 + Cp_Database_200!$I34*1 + Cp_Database_200!$J34/1, 2), "-")</f>
        <v>-</v>
      </c>
      <c r="N34" s="15" t="str">
        <f>IF(AND(1200&gt;=$E34, 1200&lt;=$F34), ROUND(Cp_Database_200!$F34 + Cp_Database_200!$G34*1.2 + Cp_Database_200!$H34*1.44 + Cp_Database_200!$I34*1.728 + Cp_Database_200!$J34/1.44, 2), "-")</f>
        <v>-</v>
      </c>
      <c r="O34" s="15" t="str">
        <f>IF(AND(1500&gt;=$E34, 1500&lt;=$F34), ROUND(Cp_Database_200!$F34 + Cp_Database_200!$G34*1.5 + Cp_Database_200!$H34*2.25 + Cp_Database_200!$I34*3.375 + Cp_Database_200!$J34/2.25, 2), "-")</f>
        <v>-</v>
      </c>
      <c r="P34" s="15" t="str">
        <f>IF(AND(2000&gt;=$E34, 2000&lt;=$F34), ROUND(Cp_Database_200!$F34 + Cp_Database_200!$G34*2 + Cp_Database_200!$H34*4 + Cp_Database_200!$I34*8 + Cp_Database_200!$J34/4, 2), "-")</f>
        <v>-</v>
      </c>
    </row>
    <row r="35" spans="1:16" ht="15" x14ac:dyDescent="0.3">
      <c r="A35" s="8">
        <f>Cp_Database_200!A35</f>
        <v>34</v>
      </c>
      <c r="B35" s="9" t="str">
        <f>Cp_Database_200!B35</f>
        <v>Cobalt(II) Oxide</v>
      </c>
      <c r="C35" s="10" t="str">
        <f>Cp_Database_200!C35</f>
        <v>CoO</v>
      </c>
      <c r="D35" s="9" t="str">
        <f>Cp_Database_200!E35</f>
        <v>Ceramic (Oxide)</v>
      </c>
      <c r="E35" s="12">
        <f>Cp_Database_200!K35</f>
        <v>298</v>
      </c>
      <c r="F35" s="12">
        <f>Cp_Database_200!L35</f>
        <v>1600</v>
      </c>
      <c r="G35" s="16">
        <f>IF(AND(298.15&gt;=$E35, 298.15&lt;=$F35), ROUND(Cp_Database_200!$F35 + Cp_Database_200!$G35*0.29815 + Cp_Database_200!$H35*0.08889342 + Cp_Database_200!$I35*0.02650357 + Cp_Database_200!$J35/0.08889342, 2), "-")</f>
        <v>54.98</v>
      </c>
      <c r="H35" s="16">
        <f>IF(AND(400&gt;=$E35, 400&lt;=$F35), ROUND(Cp_Database_200!$F35 + Cp_Database_200!$G35*0.4 + Cp_Database_200!$H35*0.16 + Cp_Database_200!$I35*0.064 + Cp_Database_200!$J35/0.16, 2), "-")</f>
        <v>53.65</v>
      </c>
      <c r="I35" s="16">
        <f>IF(AND(500&gt;=$E35, 500&lt;=$F35), ROUND(Cp_Database_200!$F35 + Cp_Database_200!$G35*0.5 + Cp_Database_200!$H35*0.25 + Cp_Database_200!$I35*0.125 + Cp_Database_200!$J35/0.25, 2), "-")</f>
        <v>53.57</v>
      </c>
      <c r="J35" s="16">
        <f>IF(AND(600&gt;=$E35, 600&lt;=$F35), ROUND(Cp_Database_200!$F35 + Cp_Database_200!$G35*0.6 + Cp_Database_200!$H35*0.36 + Cp_Database_200!$I35*0.216 + Cp_Database_200!$J35/0.36, 2), "-")</f>
        <v>53.89</v>
      </c>
      <c r="K35" s="16">
        <f>IF(AND(700&gt;=$E35, 700&lt;=$F35), ROUND(Cp_Database_200!$F35 + Cp_Database_200!$G35*0.7 + Cp_Database_200!$H35*0.49 + Cp_Database_200!$I35*0.343 + Cp_Database_200!$J35/0.49, 2), "-")</f>
        <v>54.38</v>
      </c>
      <c r="L35" s="16">
        <f>IF(AND(800&gt;=$E35, 800&lt;=$F35), ROUND(Cp_Database_200!$F35 + Cp_Database_200!$G35*0.8 + Cp_Database_200!$H35*0.64 + Cp_Database_200!$I35*0.512 + Cp_Database_200!$J35/0.64, 2), "-")</f>
        <v>54.93</v>
      </c>
      <c r="M35" s="16">
        <f>IF(AND(1000&gt;=$E35, 1000&lt;=$F35), ROUND(Cp_Database_200!$F35 + Cp_Database_200!$G35*1 + Cp_Database_200!$H35*1 + Cp_Database_200!$I35*1 + Cp_Database_200!$J35/1, 2), "-")</f>
        <v>56.23</v>
      </c>
      <c r="N35" s="16">
        <f>IF(AND(1200&gt;=$E35, 1200&lt;=$F35), ROUND(Cp_Database_200!$F35 + Cp_Database_200!$G35*1.2 + Cp_Database_200!$H35*1.44 + Cp_Database_200!$I35*1.728 + Cp_Database_200!$J35/1.44, 2), "-")</f>
        <v>57.88</v>
      </c>
      <c r="O35" s="16">
        <f>IF(AND(1500&gt;=$E35, 1500&lt;=$F35), ROUND(Cp_Database_200!$F35 + Cp_Database_200!$G35*1.5 + Cp_Database_200!$H35*2.25 + Cp_Database_200!$I35*3.375 + Cp_Database_200!$J35/2.25, 2), "-")</f>
        <v>61.58</v>
      </c>
      <c r="P35" s="16" t="str">
        <f>IF(AND(2000&gt;=$E35, 2000&lt;=$F35), ROUND(Cp_Database_200!$F35 + Cp_Database_200!$G35*2 + Cp_Database_200!$H35*4 + Cp_Database_200!$I35*8 + Cp_Database_200!$J35/4, 2), "-")</f>
        <v>-</v>
      </c>
    </row>
    <row r="36" spans="1:16" ht="15" x14ac:dyDescent="0.3">
      <c r="A36" s="2">
        <f>Cp_Database_200!A36</f>
        <v>35</v>
      </c>
      <c r="B36" s="3" t="str">
        <f>Cp_Database_200!B36</f>
        <v>Tricobalt Tetroxide</v>
      </c>
      <c r="C36" s="4" t="str">
        <f>Cp_Database_200!C36</f>
        <v>Co3O4</v>
      </c>
      <c r="D36" s="3" t="str">
        <f>Cp_Database_200!E36</f>
        <v>Ceramic (Oxide)</v>
      </c>
      <c r="E36" s="6">
        <f>Cp_Database_200!K36</f>
        <v>298</v>
      </c>
      <c r="F36" s="6">
        <f>Cp_Database_200!L36</f>
        <v>1500</v>
      </c>
      <c r="G36" s="15">
        <f>IF(AND(298.15&gt;=$E36, 298.15&lt;=$F36), ROUND(Cp_Database_200!$F36 + Cp_Database_200!$G36*0.29815 + Cp_Database_200!$H36*0.08889342 + Cp_Database_200!$I36*0.02650357 + Cp_Database_200!$J36/0.08889342, 2), "-")</f>
        <v>123.17</v>
      </c>
      <c r="H36" s="15">
        <f>IF(AND(400&gt;=$E36, 400&lt;=$F36), ROUND(Cp_Database_200!$F36 + Cp_Database_200!$G36*0.4 + Cp_Database_200!$H36*0.16 + Cp_Database_200!$I36*0.064 + Cp_Database_200!$J36/0.16, 2), "-")</f>
        <v>141.72999999999999</v>
      </c>
      <c r="I36" s="15">
        <f>IF(AND(500&gt;=$E36, 500&lt;=$F36), ROUND(Cp_Database_200!$F36 + Cp_Database_200!$G36*0.5 + Cp_Database_200!$H36*0.25 + Cp_Database_200!$I36*0.125 + Cp_Database_200!$J36/0.25, 2), "-")</f>
        <v>153.26</v>
      </c>
      <c r="J36" s="15">
        <f>IF(AND(600&gt;=$E36, 600&lt;=$F36), ROUND(Cp_Database_200!$F36 + Cp_Database_200!$G36*0.6 + Cp_Database_200!$H36*0.36 + Cp_Database_200!$I36*0.216 + Cp_Database_200!$J36/0.36, 2), "-")</f>
        <v>163.44</v>
      </c>
      <c r="K36" s="15">
        <f>IF(AND(700&gt;=$E36, 700&lt;=$F36), ROUND(Cp_Database_200!$F36 + Cp_Database_200!$G36*0.7 + Cp_Database_200!$H36*0.49 + Cp_Database_200!$I36*0.343 + Cp_Database_200!$J36/0.49, 2), "-")</f>
        <v>173.89</v>
      </c>
      <c r="L36" s="15">
        <f>IF(AND(800&gt;=$E36, 800&lt;=$F36), ROUND(Cp_Database_200!$F36 + Cp_Database_200!$G36*0.8 + Cp_Database_200!$H36*0.64 + Cp_Database_200!$I36*0.512 + Cp_Database_200!$J36/0.64, 2), "-")</f>
        <v>185.09</v>
      </c>
      <c r="M36" s="15">
        <f>IF(AND(1000&gt;=$E36, 1000&lt;=$F36), ROUND(Cp_Database_200!$F36 + Cp_Database_200!$G36*1 + Cp_Database_200!$H36*1 + Cp_Database_200!$I36*1 + Cp_Database_200!$J36/1, 2), "-")</f>
        <v>209.91</v>
      </c>
      <c r="N36" s="15">
        <f>IF(AND(1200&gt;=$E36, 1200&lt;=$F36), ROUND(Cp_Database_200!$F36 + Cp_Database_200!$G36*1.2 + Cp_Database_200!$H36*1.44 + Cp_Database_200!$I36*1.728 + Cp_Database_200!$J36/1.44, 2), "-")</f>
        <v>236.92</v>
      </c>
      <c r="O36" s="15">
        <f>IF(AND(1500&gt;=$E36, 1500&lt;=$F36), ROUND(Cp_Database_200!$F36 + Cp_Database_200!$G36*1.5 + Cp_Database_200!$H36*2.25 + Cp_Database_200!$I36*3.375 + Cp_Database_200!$J36/2.25, 2), "-")</f>
        <v>277.36</v>
      </c>
      <c r="P36" s="15" t="str">
        <f>IF(AND(2000&gt;=$E36, 2000&lt;=$F36), ROUND(Cp_Database_200!$F36 + Cp_Database_200!$G36*2 + Cp_Database_200!$H36*4 + Cp_Database_200!$I36*8 + Cp_Database_200!$J36/4, 2), "-")</f>
        <v>-</v>
      </c>
    </row>
    <row r="37" spans="1:16" ht="15" x14ac:dyDescent="0.3">
      <c r="A37" s="8">
        <f>Cp_Database_200!A37</f>
        <v>36</v>
      </c>
      <c r="B37" s="9" t="str">
        <f>Cp_Database_200!B37</f>
        <v>Barium Oxide</v>
      </c>
      <c r="C37" s="10" t="str">
        <f>Cp_Database_200!C37</f>
        <v>BaO</v>
      </c>
      <c r="D37" s="9" t="str">
        <f>Cp_Database_200!E37</f>
        <v>Ceramic (Oxide)</v>
      </c>
      <c r="E37" s="12">
        <f>Cp_Database_200!K37</f>
        <v>298</v>
      </c>
      <c r="F37" s="12">
        <f>Cp_Database_200!L37</f>
        <v>2286</v>
      </c>
      <c r="G37" s="16">
        <f>IF(AND(298.15&gt;=$E37, 298.15&lt;=$F37), ROUND(Cp_Database_200!$F37 + Cp_Database_200!$G37*0.29815 + Cp_Database_200!$H37*0.08889342 + Cp_Database_200!$I37*0.02650357 + Cp_Database_200!$J37/0.08889342, 2), "-")</f>
        <v>47.24</v>
      </c>
      <c r="H37" s="16">
        <f>IF(AND(400&gt;=$E37, 400&lt;=$F37), ROUND(Cp_Database_200!$F37 + Cp_Database_200!$G37*0.4 + Cp_Database_200!$H37*0.16 + Cp_Database_200!$I37*0.064 + Cp_Database_200!$J37/0.16, 2), "-")</f>
        <v>50.02</v>
      </c>
      <c r="I37" s="16">
        <f>IF(AND(500&gt;=$E37, 500&lt;=$F37), ROUND(Cp_Database_200!$F37 + Cp_Database_200!$G37*0.5 + Cp_Database_200!$H37*0.25 + Cp_Database_200!$I37*0.125 + Cp_Database_200!$J37/0.25, 2), "-")</f>
        <v>51.79</v>
      </c>
      <c r="J37" s="16">
        <f>IF(AND(600&gt;=$E37, 600&lt;=$F37), ROUND(Cp_Database_200!$F37 + Cp_Database_200!$G37*0.6 + Cp_Database_200!$H37*0.36 + Cp_Database_200!$I37*0.216 + Cp_Database_200!$J37/0.36, 2), "-")</f>
        <v>53.16</v>
      </c>
      <c r="K37" s="16">
        <f>IF(AND(700&gt;=$E37, 700&lt;=$F37), ROUND(Cp_Database_200!$F37 + Cp_Database_200!$G37*0.7 + Cp_Database_200!$H37*0.49 + Cp_Database_200!$I37*0.343 + Cp_Database_200!$J37/0.49, 2), "-")</f>
        <v>54.32</v>
      </c>
      <c r="L37" s="16">
        <f>IF(AND(800&gt;=$E37, 800&lt;=$F37), ROUND(Cp_Database_200!$F37 + Cp_Database_200!$G37*0.8 + Cp_Database_200!$H37*0.64 + Cp_Database_200!$I37*0.512 + Cp_Database_200!$J37/0.64, 2), "-")</f>
        <v>55.35</v>
      </c>
      <c r="M37" s="16">
        <f>IF(AND(1000&gt;=$E37, 1000&lt;=$F37), ROUND(Cp_Database_200!$F37 + Cp_Database_200!$G37*1 + Cp_Database_200!$H37*1 + Cp_Database_200!$I37*1 + Cp_Database_200!$J37/1, 2), "-")</f>
        <v>57.16</v>
      </c>
      <c r="N37" s="16">
        <f>IF(AND(1200&gt;=$E37, 1200&lt;=$F37), ROUND(Cp_Database_200!$F37 + Cp_Database_200!$G37*1.2 + Cp_Database_200!$H37*1.44 + Cp_Database_200!$I37*1.728 + Cp_Database_200!$J37/1.44, 2), "-")</f>
        <v>58.74</v>
      </c>
      <c r="O37" s="16">
        <f>IF(AND(1500&gt;=$E37, 1500&lt;=$F37), ROUND(Cp_Database_200!$F37 + Cp_Database_200!$G37*1.5 + Cp_Database_200!$H37*2.25 + Cp_Database_200!$I37*3.375 + Cp_Database_200!$J37/2.25, 2), "-")</f>
        <v>60.89</v>
      </c>
      <c r="P37" s="16">
        <f>IF(AND(2000&gt;=$E37, 2000&lt;=$F37), ROUND(Cp_Database_200!$F37 + Cp_Database_200!$G37*2 + Cp_Database_200!$H37*4 + Cp_Database_200!$I37*8 + Cp_Database_200!$J37/4, 2), "-")</f>
        <v>64.239999999999995</v>
      </c>
    </row>
    <row r="38" spans="1:16" ht="15" x14ac:dyDescent="0.3">
      <c r="A38" s="2">
        <f>Cp_Database_200!A38</f>
        <v>37</v>
      </c>
      <c r="B38" s="3" t="str">
        <f>Cp_Database_200!B38</f>
        <v>Strontium Oxide</v>
      </c>
      <c r="C38" s="4" t="str">
        <f>Cp_Database_200!C38</f>
        <v>SrO</v>
      </c>
      <c r="D38" s="3" t="str">
        <f>Cp_Database_200!E38</f>
        <v>Ceramic (Oxide)</v>
      </c>
      <c r="E38" s="6">
        <f>Cp_Database_200!K38</f>
        <v>298</v>
      </c>
      <c r="F38" s="6">
        <f>Cp_Database_200!L38</f>
        <v>2938</v>
      </c>
      <c r="G38" s="15">
        <f>IF(AND(298.15&gt;=$E38, 298.15&lt;=$F38), ROUND(Cp_Database_200!$F38 + Cp_Database_200!$G38*0.29815 + Cp_Database_200!$H38*0.08889342 + Cp_Database_200!$I38*0.02650357 + Cp_Database_200!$J38/0.08889342, 2), "-")</f>
        <v>45.37</v>
      </c>
      <c r="H38" s="15">
        <f>IF(AND(400&gt;=$E38, 400&lt;=$F38), ROUND(Cp_Database_200!$F38 + Cp_Database_200!$G38*0.4 + Cp_Database_200!$H38*0.16 + Cp_Database_200!$I38*0.064 + Cp_Database_200!$J38/0.16, 2), "-")</f>
        <v>48.74</v>
      </c>
      <c r="I38" s="15">
        <f>IF(AND(500&gt;=$E38, 500&lt;=$F38), ROUND(Cp_Database_200!$F38 + Cp_Database_200!$G38*0.5 + Cp_Database_200!$H38*0.25 + Cp_Database_200!$I38*0.125 + Cp_Database_200!$J38/0.25, 2), "-")</f>
        <v>50.68</v>
      </c>
      <c r="J38" s="15">
        <f>IF(AND(600&gt;=$E38, 600&lt;=$F38), ROUND(Cp_Database_200!$F38 + Cp_Database_200!$G38*0.6 + Cp_Database_200!$H38*0.36 + Cp_Database_200!$I38*0.216 + Cp_Database_200!$J38/0.36, 2), "-")</f>
        <v>52.09</v>
      </c>
      <c r="K38" s="15">
        <f>IF(AND(700&gt;=$E38, 700&lt;=$F38), ROUND(Cp_Database_200!$F38 + Cp_Database_200!$G38*0.7 + Cp_Database_200!$H38*0.49 + Cp_Database_200!$I38*0.343 + Cp_Database_200!$J38/0.49, 2), "-")</f>
        <v>53.24</v>
      </c>
      <c r="L38" s="15">
        <f>IF(AND(800&gt;=$E38, 800&lt;=$F38), ROUND(Cp_Database_200!$F38 + Cp_Database_200!$G38*0.8 + Cp_Database_200!$H38*0.64 + Cp_Database_200!$I38*0.512 + Cp_Database_200!$J38/0.64, 2), "-")</f>
        <v>54.24</v>
      </c>
      <c r="M38" s="15">
        <f>IF(AND(1000&gt;=$E38, 1000&lt;=$F38), ROUND(Cp_Database_200!$F38 + Cp_Database_200!$G38*1 + Cp_Database_200!$H38*1 + Cp_Database_200!$I38*1 + Cp_Database_200!$J38/1, 2), "-")</f>
        <v>56.01</v>
      </c>
      <c r="N38" s="15">
        <f>IF(AND(1200&gt;=$E38, 1200&lt;=$F38), ROUND(Cp_Database_200!$F38 + Cp_Database_200!$G38*1.2 + Cp_Database_200!$H38*1.44 + Cp_Database_200!$I38*1.728 + Cp_Database_200!$J38/1.44, 2), "-")</f>
        <v>57.61</v>
      </c>
      <c r="O38" s="15">
        <f>IF(AND(1500&gt;=$E38, 1500&lt;=$F38), ROUND(Cp_Database_200!$F38 + Cp_Database_200!$G38*1.5 + Cp_Database_200!$H38*2.25 + Cp_Database_200!$I38*3.375 + Cp_Database_200!$J38/2.25, 2), "-")</f>
        <v>59.82</v>
      </c>
      <c r="P38" s="15">
        <f>IF(AND(2000&gt;=$E38, 2000&lt;=$F38), ROUND(Cp_Database_200!$F38 + Cp_Database_200!$G38*2 + Cp_Database_200!$H38*4 + Cp_Database_200!$I38*8 + Cp_Database_200!$J38/4, 2), "-")</f>
        <v>63.26</v>
      </c>
    </row>
    <row r="39" spans="1:16" ht="15" x14ac:dyDescent="0.3">
      <c r="A39" s="8">
        <f>Cp_Database_200!A39</f>
        <v>38</v>
      </c>
      <c r="B39" s="9" t="str">
        <f>Cp_Database_200!B39</f>
        <v>Beryllium Oxide</v>
      </c>
      <c r="C39" s="10" t="str">
        <f>Cp_Database_200!C39</f>
        <v>BeO</v>
      </c>
      <c r="D39" s="9" t="str">
        <f>Cp_Database_200!E39</f>
        <v>Ceramic (Oxide)</v>
      </c>
      <c r="E39" s="12">
        <f>Cp_Database_200!K39</f>
        <v>298</v>
      </c>
      <c r="F39" s="12">
        <f>Cp_Database_200!L39</f>
        <v>800</v>
      </c>
      <c r="G39" s="16">
        <f>IF(AND(298.15&gt;=$E39, 298.15&lt;=$F39), ROUND(Cp_Database_200!$F39 + Cp_Database_200!$G39*0.29815 + Cp_Database_200!$H39*0.08889342 + Cp_Database_200!$I39*0.02650357 + Cp_Database_200!$J39/0.08889342, 2), "-")</f>
        <v>25.56</v>
      </c>
      <c r="H39" s="16">
        <f>IF(AND(400&gt;=$E39, 400&lt;=$F39), ROUND(Cp_Database_200!$F39 + Cp_Database_200!$G39*0.4 + Cp_Database_200!$H39*0.16 + Cp_Database_200!$I39*0.064 + Cp_Database_200!$J39/0.16, 2), "-")</f>
        <v>33.76</v>
      </c>
      <c r="I39" s="16">
        <f>IF(AND(500&gt;=$E39, 500&lt;=$F39), ROUND(Cp_Database_200!$F39 + Cp_Database_200!$G39*0.5 + Cp_Database_200!$H39*0.25 + Cp_Database_200!$I39*0.125 + Cp_Database_200!$J39/0.25, 2), "-")</f>
        <v>38.909999999999997</v>
      </c>
      <c r="J39" s="16">
        <f>IF(AND(600&gt;=$E39, 600&lt;=$F39), ROUND(Cp_Database_200!$F39 + Cp_Database_200!$G39*0.6 + Cp_Database_200!$H39*0.36 + Cp_Database_200!$I39*0.216 + Cp_Database_200!$J39/0.36, 2), "-")</f>
        <v>42.39</v>
      </c>
      <c r="K39" s="16">
        <f>IF(AND(700&gt;=$E39, 700&lt;=$F39), ROUND(Cp_Database_200!$F39 + Cp_Database_200!$G39*0.7 + Cp_Database_200!$H39*0.49 + Cp_Database_200!$I39*0.343 + Cp_Database_200!$J39/0.49, 2), "-")</f>
        <v>44.82</v>
      </c>
      <c r="L39" s="16">
        <f>IF(AND(800&gt;=$E39, 800&lt;=$F39), ROUND(Cp_Database_200!$F39 + Cp_Database_200!$G39*0.8 + Cp_Database_200!$H39*0.64 + Cp_Database_200!$I39*0.512 + Cp_Database_200!$J39/0.64, 2), "-")</f>
        <v>46.66</v>
      </c>
      <c r="M39" s="16" t="str">
        <f>IF(AND(1000&gt;=$E39, 1000&lt;=$F39), ROUND(Cp_Database_200!$F39 + Cp_Database_200!$G39*1 + Cp_Database_200!$H39*1 + Cp_Database_200!$I39*1 + Cp_Database_200!$J39/1, 2), "-")</f>
        <v>-</v>
      </c>
      <c r="N39" s="16" t="str">
        <f>IF(AND(1200&gt;=$E39, 1200&lt;=$F39), ROUND(Cp_Database_200!$F39 + Cp_Database_200!$G39*1.2 + Cp_Database_200!$H39*1.44 + Cp_Database_200!$I39*1.728 + Cp_Database_200!$J39/1.44, 2), "-")</f>
        <v>-</v>
      </c>
      <c r="O39" s="16" t="str">
        <f>IF(AND(1500&gt;=$E39, 1500&lt;=$F39), ROUND(Cp_Database_200!$F39 + Cp_Database_200!$G39*1.5 + Cp_Database_200!$H39*2.25 + Cp_Database_200!$I39*3.375 + Cp_Database_200!$J39/2.25, 2), "-")</f>
        <v>-</v>
      </c>
      <c r="P39" s="16" t="str">
        <f>IF(AND(2000&gt;=$E39, 2000&lt;=$F39), ROUND(Cp_Database_200!$F39 + Cp_Database_200!$G39*2 + Cp_Database_200!$H39*4 + Cp_Database_200!$I39*8 + Cp_Database_200!$J39/4, 2), "-")</f>
        <v>-</v>
      </c>
    </row>
    <row r="40" spans="1:16" ht="15" x14ac:dyDescent="0.3">
      <c r="A40" s="2">
        <f>Cp_Database_200!A40</f>
        <v>39</v>
      </c>
      <c r="B40" s="3" t="str">
        <f>Cp_Database_200!B40</f>
        <v>Vanadium(V) Oxide</v>
      </c>
      <c r="C40" s="4" t="str">
        <f>Cp_Database_200!C40</f>
        <v>V2O5</v>
      </c>
      <c r="D40" s="3" t="str">
        <f>Cp_Database_200!E40</f>
        <v>Ceramic (Oxide)</v>
      </c>
      <c r="E40" s="6">
        <f>Cp_Database_200!K40</f>
        <v>298</v>
      </c>
      <c r="F40" s="6">
        <f>Cp_Database_200!L40</f>
        <v>943</v>
      </c>
      <c r="G40" s="15">
        <f>IF(AND(298.15&gt;=$E40, 298.15&lt;=$F40), ROUND(Cp_Database_200!$F40 + Cp_Database_200!$G40*0.29815 + Cp_Database_200!$H40*0.08889342 + Cp_Database_200!$I40*0.02650357 + Cp_Database_200!$J40/0.08889342, 2), "-")</f>
        <v>130.53</v>
      </c>
      <c r="H40" s="15">
        <f>IF(AND(400&gt;=$E40, 400&lt;=$F40), ROUND(Cp_Database_200!$F40 + Cp_Database_200!$G40*0.4 + Cp_Database_200!$H40*0.16 + Cp_Database_200!$I40*0.064 + Cp_Database_200!$J40/0.16, 2), "-")</f>
        <v>151.07</v>
      </c>
      <c r="I40" s="15">
        <f>IF(AND(500&gt;=$E40, 500&lt;=$F40), ROUND(Cp_Database_200!$F40 + Cp_Database_200!$G40*0.5 + Cp_Database_200!$H40*0.25 + Cp_Database_200!$I40*0.125 + Cp_Database_200!$J40/0.25, 2), "-")</f>
        <v>161.6</v>
      </c>
      <c r="J40" s="15">
        <f>IF(AND(600&gt;=$E40, 600&lt;=$F40), ROUND(Cp_Database_200!$F40 + Cp_Database_200!$G40*0.6 + Cp_Database_200!$H40*0.36 + Cp_Database_200!$I40*0.216 + Cp_Database_200!$J40/0.36, 2), "-")</f>
        <v>168.34</v>
      </c>
      <c r="K40" s="15">
        <f>IF(AND(700&gt;=$E40, 700&lt;=$F40), ROUND(Cp_Database_200!$F40 + Cp_Database_200!$G40*0.7 + Cp_Database_200!$H40*0.49 + Cp_Database_200!$I40*0.343 + Cp_Database_200!$J40/0.49, 2), "-")</f>
        <v>173.28</v>
      </c>
      <c r="L40" s="15">
        <f>IF(AND(800&gt;=$E40, 800&lt;=$F40), ROUND(Cp_Database_200!$F40 + Cp_Database_200!$G40*0.8 + Cp_Database_200!$H40*0.64 + Cp_Database_200!$I40*0.512 + Cp_Database_200!$J40/0.64, 2), "-")</f>
        <v>177.24</v>
      </c>
      <c r="M40" s="15" t="str">
        <f>IF(AND(1000&gt;=$E40, 1000&lt;=$F40), ROUND(Cp_Database_200!$F40 + Cp_Database_200!$G40*1 + Cp_Database_200!$H40*1 + Cp_Database_200!$I40*1 + Cp_Database_200!$J40/1, 2), "-")</f>
        <v>-</v>
      </c>
      <c r="N40" s="15" t="str">
        <f>IF(AND(1200&gt;=$E40, 1200&lt;=$F40), ROUND(Cp_Database_200!$F40 + Cp_Database_200!$G40*1.2 + Cp_Database_200!$H40*1.44 + Cp_Database_200!$I40*1.728 + Cp_Database_200!$J40/1.44, 2), "-")</f>
        <v>-</v>
      </c>
      <c r="O40" s="15" t="str">
        <f>IF(AND(1500&gt;=$E40, 1500&lt;=$F40), ROUND(Cp_Database_200!$F40 + Cp_Database_200!$G40*1.5 + Cp_Database_200!$H40*2.25 + Cp_Database_200!$I40*3.375 + Cp_Database_200!$J40/2.25, 2), "-")</f>
        <v>-</v>
      </c>
      <c r="P40" s="15" t="str">
        <f>IF(AND(2000&gt;=$E40, 2000&lt;=$F40), ROUND(Cp_Database_200!$F40 + Cp_Database_200!$G40*2 + Cp_Database_200!$H40*4 + Cp_Database_200!$I40*8 + Cp_Database_200!$J40/4, 2), "-")</f>
        <v>-</v>
      </c>
    </row>
    <row r="41" spans="1:16" ht="15" x14ac:dyDescent="0.3">
      <c r="A41" s="8">
        <f>Cp_Database_200!A41</f>
        <v>40</v>
      </c>
      <c r="B41" s="9" t="str">
        <f>Cp_Database_200!B41</f>
        <v>Vanadium(III) Oxide</v>
      </c>
      <c r="C41" s="10" t="str">
        <f>Cp_Database_200!C41</f>
        <v>V2O3</v>
      </c>
      <c r="D41" s="9" t="str">
        <f>Cp_Database_200!E41</f>
        <v>Ceramic (Oxide)</v>
      </c>
      <c r="E41" s="12">
        <f>Cp_Database_200!K41</f>
        <v>298</v>
      </c>
      <c r="F41" s="12">
        <f>Cp_Database_200!L41</f>
        <v>2340</v>
      </c>
      <c r="G41" s="16">
        <f>IF(AND(298.15&gt;=$E41, 298.15&lt;=$F41), ROUND(Cp_Database_200!$F41 + Cp_Database_200!$G41*0.29815 + Cp_Database_200!$H41*0.08889342 + Cp_Database_200!$I41*0.02650357 + Cp_Database_200!$J41/0.08889342, 2), "-")</f>
        <v>105.07</v>
      </c>
      <c r="H41" s="16">
        <f>IF(AND(400&gt;=$E41, 400&lt;=$F41), ROUND(Cp_Database_200!$F41 + Cp_Database_200!$G41*0.4 + Cp_Database_200!$H41*0.16 + Cp_Database_200!$I41*0.064 + Cp_Database_200!$J41/0.16, 2), "-")</f>
        <v>117.23</v>
      </c>
      <c r="I41" s="16">
        <f>IF(AND(500&gt;=$E41, 500&lt;=$F41), ROUND(Cp_Database_200!$F41 + Cp_Database_200!$G41*0.5 + Cp_Database_200!$H41*0.25 + Cp_Database_200!$I41*0.125 + Cp_Database_200!$J41/0.25, 2), "-")</f>
        <v>123.27</v>
      </c>
      <c r="J41" s="16">
        <f>IF(AND(600&gt;=$E41, 600&lt;=$F41), ROUND(Cp_Database_200!$F41 + Cp_Database_200!$G41*0.6 + Cp_Database_200!$H41*0.36 + Cp_Database_200!$I41*0.216 + Cp_Database_200!$J41/0.36, 2), "-")</f>
        <v>127.2</v>
      </c>
      <c r="K41" s="16">
        <f>IF(AND(700&gt;=$E41, 700&lt;=$F41), ROUND(Cp_Database_200!$F41 + Cp_Database_200!$G41*0.7 + Cp_Database_200!$H41*0.49 + Cp_Database_200!$I41*0.343 + Cp_Database_200!$J41/0.49, 2), "-")</f>
        <v>130.27000000000001</v>
      </c>
      <c r="L41" s="16">
        <f>IF(AND(800&gt;=$E41, 800&lt;=$F41), ROUND(Cp_Database_200!$F41 + Cp_Database_200!$G41*0.8 + Cp_Database_200!$H41*0.64 + Cp_Database_200!$I41*0.512 + Cp_Database_200!$J41/0.64, 2), "-")</f>
        <v>133</v>
      </c>
      <c r="M41" s="16">
        <f>IF(AND(1000&gt;=$E41, 1000&lt;=$F41), ROUND(Cp_Database_200!$F41 + Cp_Database_200!$G41*1 + Cp_Database_200!$H41*1 + Cp_Database_200!$I41*1 + Cp_Database_200!$J41/1, 2), "-")</f>
        <v>138.26</v>
      </c>
      <c r="N41" s="16">
        <f>IF(AND(1200&gt;=$E41, 1200&lt;=$F41), ROUND(Cp_Database_200!$F41 + Cp_Database_200!$G41*1.2 + Cp_Database_200!$H41*1.44 + Cp_Database_200!$I41*1.728 + Cp_Database_200!$J41/1.44, 2), "-")</f>
        <v>143.74</v>
      </c>
      <c r="O41" s="16">
        <f>IF(AND(1500&gt;=$E41, 1500&lt;=$F41), ROUND(Cp_Database_200!$F41 + Cp_Database_200!$G41*1.5 + Cp_Database_200!$H41*2.25 + Cp_Database_200!$I41*3.375 + Cp_Database_200!$J41/2.25, 2), "-")</f>
        <v>152.75</v>
      </c>
      <c r="P41" s="16">
        <f>IF(AND(2000&gt;=$E41, 2000&lt;=$F41), ROUND(Cp_Database_200!$F41 + Cp_Database_200!$G41*2 + Cp_Database_200!$H41*4 + Cp_Database_200!$I41*8 + Cp_Database_200!$J41/4, 2), "-")</f>
        <v>169.43</v>
      </c>
    </row>
    <row r="42" spans="1:16" ht="15" x14ac:dyDescent="0.3">
      <c r="A42" s="2">
        <f>Cp_Database_200!A42</f>
        <v>41</v>
      </c>
      <c r="B42" s="3" t="str">
        <f>Cp_Database_200!B42</f>
        <v>Vanadium(IV) Oxide</v>
      </c>
      <c r="C42" s="4" t="str">
        <f>Cp_Database_200!C42</f>
        <v>VO2</v>
      </c>
      <c r="D42" s="3" t="str">
        <f>Cp_Database_200!E42</f>
        <v>Ceramic (Oxide)</v>
      </c>
      <c r="E42" s="6">
        <f>Cp_Database_200!K42</f>
        <v>298</v>
      </c>
      <c r="F42" s="6">
        <f>Cp_Database_200!L42</f>
        <v>1100</v>
      </c>
      <c r="G42" s="15">
        <f>IF(AND(298.15&gt;=$E42, 298.15&lt;=$F42), ROUND(Cp_Database_200!$F42 + Cp_Database_200!$G42*0.29815 + Cp_Database_200!$H42*0.08889342 + Cp_Database_200!$I42*0.02650357 + Cp_Database_200!$J42/0.08889342, 2), "-")</f>
        <v>43.89</v>
      </c>
      <c r="H42" s="15">
        <f>IF(AND(400&gt;=$E42, 400&lt;=$F42), ROUND(Cp_Database_200!$F42 + Cp_Database_200!$G42*0.4 + Cp_Database_200!$H42*0.16 + Cp_Database_200!$I42*0.064 + Cp_Database_200!$J42/0.16, 2), "-")</f>
        <v>47.63</v>
      </c>
      <c r="I42" s="15">
        <f>IF(AND(500&gt;=$E42, 500&lt;=$F42), ROUND(Cp_Database_200!$F42 + Cp_Database_200!$G42*0.5 + Cp_Database_200!$H42*0.25 + Cp_Database_200!$I42*0.125 + Cp_Database_200!$J42/0.25, 2), "-")</f>
        <v>50.28</v>
      </c>
      <c r="J42" s="15">
        <f>IF(AND(600&gt;=$E42, 600&lt;=$F42), ROUND(Cp_Database_200!$F42 + Cp_Database_200!$G42*0.6 + Cp_Database_200!$H42*0.36 + Cp_Database_200!$I42*0.216 + Cp_Database_200!$J42/0.36, 2), "-")</f>
        <v>52.19</v>
      </c>
      <c r="K42" s="15">
        <f>IF(AND(700&gt;=$E42, 700&lt;=$F42), ROUND(Cp_Database_200!$F42 + Cp_Database_200!$G42*0.7 + Cp_Database_200!$H42*0.49 + Cp_Database_200!$I42*0.343 + Cp_Database_200!$J42/0.49, 2), "-")</f>
        <v>53.56</v>
      </c>
      <c r="L42" s="15">
        <f>IF(AND(800&gt;=$E42, 800&lt;=$F42), ROUND(Cp_Database_200!$F42 + Cp_Database_200!$G42*0.8 + Cp_Database_200!$H42*0.64 + Cp_Database_200!$I42*0.512 + Cp_Database_200!$J42/0.64, 2), "-")</f>
        <v>54.51</v>
      </c>
      <c r="M42" s="15">
        <f>IF(AND(1000&gt;=$E42, 1000&lt;=$F42), ROUND(Cp_Database_200!$F42 + Cp_Database_200!$G42*1 + Cp_Database_200!$H42*1 + Cp_Database_200!$I42*1 + Cp_Database_200!$J42/1, 2), "-")</f>
        <v>55.67</v>
      </c>
      <c r="N42" s="15" t="str">
        <f>IF(AND(1200&gt;=$E42, 1200&lt;=$F42), ROUND(Cp_Database_200!$F42 + Cp_Database_200!$G42*1.2 + Cp_Database_200!$H42*1.44 + Cp_Database_200!$I42*1.728 + Cp_Database_200!$J42/1.44, 2), "-")</f>
        <v>-</v>
      </c>
      <c r="O42" s="15" t="str">
        <f>IF(AND(1500&gt;=$E42, 1500&lt;=$F42), ROUND(Cp_Database_200!$F42 + Cp_Database_200!$G42*1.5 + Cp_Database_200!$H42*2.25 + Cp_Database_200!$I42*3.375 + Cp_Database_200!$J42/2.25, 2), "-")</f>
        <v>-</v>
      </c>
      <c r="P42" s="15" t="str">
        <f>IF(AND(2000&gt;=$E42, 2000&lt;=$F42), ROUND(Cp_Database_200!$F42 + Cp_Database_200!$G42*2 + Cp_Database_200!$H42*4 + Cp_Database_200!$I42*8 + Cp_Database_200!$J42/4, 2), "-")</f>
        <v>-</v>
      </c>
    </row>
    <row r="43" spans="1:16" ht="15" x14ac:dyDescent="0.3">
      <c r="A43" s="8">
        <f>Cp_Database_200!A43</f>
        <v>42</v>
      </c>
      <c r="B43" s="9" t="str">
        <f>Cp_Database_200!B43</f>
        <v>Tungsten(VI) Oxide</v>
      </c>
      <c r="C43" s="10" t="str">
        <f>Cp_Database_200!C43</f>
        <v>WO3</v>
      </c>
      <c r="D43" s="9" t="str">
        <f>Cp_Database_200!E43</f>
        <v>Ceramic (Oxide)</v>
      </c>
      <c r="E43" s="12">
        <f>Cp_Database_200!K43</f>
        <v>298</v>
      </c>
      <c r="F43" s="12">
        <f>Cp_Database_200!L43</f>
        <v>1050</v>
      </c>
      <c r="G43" s="16">
        <f>IF(AND(298.15&gt;=$E43, 298.15&lt;=$F43), ROUND(Cp_Database_200!$F43 + Cp_Database_200!$G43*0.29815 + Cp_Database_200!$H43*0.08889342 + Cp_Database_200!$I43*0.02650357 + Cp_Database_200!$J43/0.08889342, 2), "-")</f>
        <v>73.12</v>
      </c>
      <c r="H43" s="16">
        <f>IF(AND(400&gt;=$E43, 400&lt;=$F43), ROUND(Cp_Database_200!$F43 + Cp_Database_200!$G43*0.4 + Cp_Database_200!$H43*0.16 + Cp_Database_200!$I43*0.064 + Cp_Database_200!$J43/0.16, 2), "-")</f>
        <v>82.23</v>
      </c>
      <c r="I43" s="16">
        <f>IF(AND(500&gt;=$E43, 500&lt;=$F43), ROUND(Cp_Database_200!$F43 + Cp_Database_200!$G43*0.5 + Cp_Database_200!$H43*0.25 + Cp_Database_200!$I43*0.125 + Cp_Database_200!$J43/0.25, 2), "-")</f>
        <v>88.62</v>
      </c>
      <c r="J43" s="16">
        <f>IF(AND(600&gt;=$E43, 600&lt;=$F43), ROUND(Cp_Database_200!$F43 + Cp_Database_200!$G43*0.6 + Cp_Database_200!$H43*0.36 + Cp_Database_200!$I43*0.216 + Cp_Database_200!$J43/0.36, 2), "-")</f>
        <v>93.09</v>
      </c>
      <c r="K43" s="16">
        <f>IF(AND(700&gt;=$E43, 700&lt;=$F43), ROUND(Cp_Database_200!$F43 + Cp_Database_200!$G43*0.7 + Cp_Database_200!$H43*0.49 + Cp_Database_200!$I43*0.343 + Cp_Database_200!$J43/0.49, 2), "-")</f>
        <v>96.15</v>
      </c>
      <c r="L43" s="16">
        <f>IF(AND(800&gt;=$E43, 800&lt;=$F43), ROUND(Cp_Database_200!$F43 + Cp_Database_200!$G43*0.8 + Cp_Database_200!$H43*0.64 + Cp_Database_200!$I43*0.512 + Cp_Database_200!$J43/0.64, 2), "-")</f>
        <v>98.27</v>
      </c>
      <c r="M43" s="16">
        <f>IF(AND(1000&gt;=$E43, 1000&lt;=$F43), ROUND(Cp_Database_200!$F43 + Cp_Database_200!$G43*1 + Cp_Database_200!$H43*1 + Cp_Database_200!$I43*1 + Cp_Database_200!$J43/1, 2), "-")</f>
        <v>101.59</v>
      </c>
      <c r="N43" s="16" t="str">
        <f>IF(AND(1200&gt;=$E43, 1200&lt;=$F43), ROUND(Cp_Database_200!$F43 + Cp_Database_200!$G43*1.2 + Cp_Database_200!$H43*1.44 + Cp_Database_200!$I43*1.728 + Cp_Database_200!$J43/1.44, 2), "-")</f>
        <v>-</v>
      </c>
      <c r="O43" s="16" t="str">
        <f>IF(AND(1500&gt;=$E43, 1500&lt;=$F43), ROUND(Cp_Database_200!$F43 + Cp_Database_200!$G43*1.5 + Cp_Database_200!$H43*2.25 + Cp_Database_200!$I43*3.375 + Cp_Database_200!$J43/2.25, 2), "-")</f>
        <v>-</v>
      </c>
      <c r="P43" s="16" t="str">
        <f>IF(AND(2000&gt;=$E43, 2000&lt;=$F43), ROUND(Cp_Database_200!$F43 + Cp_Database_200!$G43*2 + Cp_Database_200!$H43*4 + Cp_Database_200!$I43*8 + Cp_Database_200!$J43/4, 2), "-")</f>
        <v>-</v>
      </c>
    </row>
    <row r="44" spans="1:16" ht="15" x14ac:dyDescent="0.3">
      <c r="A44" s="2">
        <f>Cp_Database_200!A44</f>
        <v>43</v>
      </c>
      <c r="B44" s="3" t="str">
        <f>Cp_Database_200!B44</f>
        <v>Tungsten(IV) Oxide</v>
      </c>
      <c r="C44" s="4" t="str">
        <f>Cp_Database_200!C44</f>
        <v>WO2</v>
      </c>
      <c r="D44" s="3" t="str">
        <f>Cp_Database_200!E44</f>
        <v>Ceramic (Oxide)</v>
      </c>
      <c r="E44" s="6">
        <f>Cp_Database_200!K44</f>
        <v>298</v>
      </c>
      <c r="F44" s="6">
        <f>Cp_Database_200!L44</f>
        <v>1300</v>
      </c>
      <c r="G44" s="15">
        <f>IF(AND(298.15&gt;=$E44, 298.15&lt;=$F44), ROUND(Cp_Database_200!$F44 + Cp_Database_200!$G44*0.29815 + Cp_Database_200!$H44*0.08889342 + Cp_Database_200!$I44*0.02650357 + Cp_Database_200!$J44/0.08889342, 2), "-")</f>
        <v>55.72</v>
      </c>
      <c r="H44" s="15">
        <f>IF(AND(400&gt;=$E44, 400&lt;=$F44), ROUND(Cp_Database_200!$F44 + Cp_Database_200!$G44*0.4 + Cp_Database_200!$H44*0.16 + Cp_Database_200!$I44*0.064 + Cp_Database_200!$J44/0.16, 2), "-")</f>
        <v>63.47</v>
      </c>
      <c r="I44" s="15">
        <f>IF(AND(500&gt;=$E44, 500&lt;=$F44), ROUND(Cp_Database_200!$F44 + Cp_Database_200!$G44*0.5 + Cp_Database_200!$H44*0.25 + Cp_Database_200!$I44*0.125 + Cp_Database_200!$J44/0.25, 2), "-")</f>
        <v>68.09</v>
      </c>
      <c r="J44" s="15">
        <f>IF(AND(600&gt;=$E44, 600&lt;=$F44), ROUND(Cp_Database_200!$F44 + Cp_Database_200!$G44*0.6 + Cp_Database_200!$H44*0.36 + Cp_Database_200!$I44*0.216 + Cp_Database_200!$J44/0.36, 2), "-")</f>
        <v>71.3</v>
      </c>
      <c r="K44" s="15">
        <f>IF(AND(700&gt;=$E44, 700&lt;=$F44), ROUND(Cp_Database_200!$F44 + Cp_Database_200!$G44*0.7 + Cp_Database_200!$H44*0.49 + Cp_Database_200!$I44*0.343 + Cp_Database_200!$J44/0.49, 2), "-")</f>
        <v>73.680000000000007</v>
      </c>
      <c r="L44" s="15">
        <f>IF(AND(800&gt;=$E44, 800&lt;=$F44), ROUND(Cp_Database_200!$F44 + Cp_Database_200!$G44*0.8 + Cp_Database_200!$H44*0.64 + Cp_Database_200!$I44*0.512 + Cp_Database_200!$J44/0.64, 2), "-")</f>
        <v>75.510000000000005</v>
      </c>
      <c r="M44" s="15">
        <f>IF(AND(1000&gt;=$E44, 1000&lt;=$F44), ROUND(Cp_Database_200!$F44 + Cp_Database_200!$G44*1 + Cp_Database_200!$H44*1 + Cp_Database_200!$I44*1 + Cp_Database_200!$J44/1, 2), "-")</f>
        <v>78.12</v>
      </c>
      <c r="N44" s="15">
        <f>IF(AND(1200&gt;=$E44, 1200&lt;=$F44), ROUND(Cp_Database_200!$F44 + Cp_Database_200!$G44*1.2 + Cp_Database_200!$H44*1.44 + Cp_Database_200!$I44*1.728 + Cp_Database_200!$J44/1.44, 2), "-")</f>
        <v>80.040000000000006</v>
      </c>
      <c r="O44" s="15" t="str">
        <f>IF(AND(1500&gt;=$E44, 1500&lt;=$F44), ROUND(Cp_Database_200!$F44 + Cp_Database_200!$G44*1.5 + Cp_Database_200!$H44*2.25 + Cp_Database_200!$I44*3.375 + Cp_Database_200!$J44/2.25, 2), "-")</f>
        <v>-</v>
      </c>
      <c r="P44" s="15" t="str">
        <f>IF(AND(2000&gt;=$E44, 2000&lt;=$F44), ROUND(Cp_Database_200!$F44 + Cp_Database_200!$G44*2 + Cp_Database_200!$H44*4 + Cp_Database_200!$I44*8 + Cp_Database_200!$J44/4, 2), "-")</f>
        <v>-</v>
      </c>
    </row>
    <row r="45" spans="1:16" ht="15" x14ac:dyDescent="0.3">
      <c r="A45" s="8">
        <f>Cp_Database_200!A45</f>
        <v>44</v>
      </c>
      <c r="B45" s="9" t="str">
        <f>Cp_Database_200!B45</f>
        <v>Molybdenum(VI) Oxide</v>
      </c>
      <c r="C45" s="10" t="str">
        <f>Cp_Database_200!C45</f>
        <v>MoO3</v>
      </c>
      <c r="D45" s="9" t="str">
        <f>Cp_Database_200!E45</f>
        <v>Ceramic (Oxide)</v>
      </c>
      <c r="E45" s="12">
        <f>Cp_Database_200!K45</f>
        <v>298</v>
      </c>
      <c r="F45" s="12">
        <f>Cp_Database_200!L45</f>
        <v>1074</v>
      </c>
      <c r="G45" s="16">
        <f>IF(AND(298.15&gt;=$E45, 298.15&lt;=$F45), ROUND(Cp_Database_200!$F45 + Cp_Database_200!$G45*0.29815 + Cp_Database_200!$H45*0.08889342 + Cp_Database_200!$I45*0.02650357 + Cp_Database_200!$J45/0.08889342, 2), "-")</f>
        <v>74.91</v>
      </c>
      <c r="H45" s="16">
        <f>IF(AND(400&gt;=$E45, 400&lt;=$F45), ROUND(Cp_Database_200!$F45 + Cp_Database_200!$G45*0.4 + Cp_Database_200!$H45*0.16 + Cp_Database_200!$I45*0.064 + Cp_Database_200!$J45/0.16, 2), "-")</f>
        <v>82.94</v>
      </c>
      <c r="I45" s="16">
        <f>IF(AND(500&gt;=$E45, 500&lt;=$F45), ROUND(Cp_Database_200!$F45 + Cp_Database_200!$G45*0.5 + Cp_Database_200!$H45*0.25 + Cp_Database_200!$I45*0.125 + Cp_Database_200!$J45/0.25, 2), "-")</f>
        <v>87.81</v>
      </c>
      <c r="J45" s="16">
        <f>IF(AND(600&gt;=$E45, 600&lt;=$F45), ROUND(Cp_Database_200!$F45 + Cp_Database_200!$G45*0.6 + Cp_Database_200!$H45*0.36 + Cp_Database_200!$I45*0.216 + Cp_Database_200!$J45/0.36, 2), "-")</f>
        <v>91.89</v>
      </c>
      <c r="K45" s="16">
        <f>IF(AND(700&gt;=$E45, 700&lt;=$F45), ROUND(Cp_Database_200!$F45 + Cp_Database_200!$G45*0.7 + Cp_Database_200!$H45*0.49 + Cp_Database_200!$I45*0.343 + Cp_Database_200!$J45/0.49, 2), "-")</f>
        <v>95.87</v>
      </c>
      <c r="L45" s="16">
        <f>IF(AND(800&gt;=$E45, 800&lt;=$F45), ROUND(Cp_Database_200!$F45 + Cp_Database_200!$G45*0.8 + Cp_Database_200!$H45*0.64 + Cp_Database_200!$I45*0.512 + Cp_Database_200!$J45/0.64, 2), "-")</f>
        <v>100.01</v>
      </c>
      <c r="M45" s="16">
        <f>IF(AND(1000&gt;=$E45, 1000&lt;=$F45), ROUND(Cp_Database_200!$F45 + Cp_Database_200!$G45*1 + Cp_Database_200!$H45*1 + Cp_Database_200!$I45*1 + Cp_Database_200!$J45/1, 2), "-")</f>
        <v>108.97</v>
      </c>
      <c r="N45" s="16" t="str">
        <f>IF(AND(1200&gt;=$E45, 1200&lt;=$F45), ROUND(Cp_Database_200!$F45 + Cp_Database_200!$G45*1.2 + Cp_Database_200!$H45*1.44 + Cp_Database_200!$I45*1.728 + Cp_Database_200!$J45/1.44, 2), "-")</f>
        <v>-</v>
      </c>
      <c r="O45" s="16" t="str">
        <f>IF(AND(1500&gt;=$E45, 1500&lt;=$F45), ROUND(Cp_Database_200!$F45 + Cp_Database_200!$G45*1.5 + Cp_Database_200!$H45*2.25 + Cp_Database_200!$I45*3.375 + Cp_Database_200!$J45/2.25, 2), "-")</f>
        <v>-</v>
      </c>
      <c r="P45" s="16" t="str">
        <f>IF(AND(2000&gt;=$E45, 2000&lt;=$F45), ROUND(Cp_Database_200!$F45 + Cp_Database_200!$G45*2 + Cp_Database_200!$H45*4 + Cp_Database_200!$I45*8 + Cp_Database_200!$J45/4, 2), "-")</f>
        <v>-</v>
      </c>
    </row>
    <row r="46" spans="1:16" ht="15" x14ac:dyDescent="0.3">
      <c r="A46" s="2">
        <f>Cp_Database_200!A46</f>
        <v>45</v>
      </c>
      <c r="B46" s="3" t="str">
        <f>Cp_Database_200!B46</f>
        <v>Molybdenum(IV) Oxide</v>
      </c>
      <c r="C46" s="4" t="str">
        <f>Cp_Database_200!C46</f>
        <v>MoO2</v>
      </c>
      <c r="D46" s="3" t="str">
        <f>Cp_Database_200!E46</f>
        <v>Ceramic (Oxide)</v>
      </c>
      <c r="E46" s="6">
        <f>Cp_Database_200!K46</f>
        <v>298</v>
      </c>
      <c r="F46" s="6">
        <f>Cp_Database_200!L46</f>
        <v>3000</v>
      </c>
      <c r="G46" s="15">
        <f>IF(AND(298.15&gt;=$E46, 298.15&lt;=$F46), ROUND(Cp_Database_200!$F46 + Cp_Database_200!$G46*0.29815 + Cp_Database_200!$H46*0.08889342 + Cp_Database_200!$I46*0.02650357 + Cp_Database_200!$J46/0.08889342, 2), "-")</f>
        <v>55.9</v>
      </c>
      <c r="H46" s="15">
        <f>IF(AND(400&gt;=$E46, 400&lt;=$F46), ROUND(Cp_Database_200!$F46 + Cp_Database_200!$G46*0.4 + Cp_Database_200!$H46*0.16 + Cp_Database_200!$I46*0.064 + Cp_Database_200!$J46/0.16, 2), "-")</f>
        <v>63.55</v>
      </c>
      <c r="I46" s="15">
        <f>IF(AND(500&gt;=$E46, 500&lt;=$F46), ROUND(Cp_Database_200!$F46 + Cp_Database_200!$G46*0.5 + Cp_Database_200!$H46*0.25 + Cp_Database_200!$I46*0.125 + Cp_Database_200!$J46/0.25, 2), "-")</f>
        <v>67.930000000000007</v>
      </c>
      <c r="J46" s="15">
        <f>IF(AND(600&gt;=$E46, 600&lt;=$F46), ROUND(Cp_Database_200!$F46 + Cp_Database_200!$G46*0.6 + Cp_Database_200!$H46*0.36 + Cp_Database_200!$I46*0.216 + Cp_Database_200!$J46/0.36, 2), "-")</f>
        <v>71.180000000000007</v>
      </c>
      <c r="K46" s="15">
        <f>IF(AND(700&gt;=$E46, 700&lt;=$F46), ROUND(Cp_Database_200!$F46 + Cp_Database_200!$G46*0.7 + Cp_Database_200!$H46*0.49 + Cp_Database_200!$I46*0.343 + Cp_Database_200!$J46/0.49, 2), "-")</f>
        <v>73.94</v>
      </c>
      <c r="L46" s="15">
        <f>IF(AND(800&gt;=$E46, 800&lt;=$F46), ROUND(Cp_Database_200!$F46 + Cp_Database_200!$G46*0.8 + Cp_Database_200!$H46*0.64 + Cp_Database_200!$I46*0.512 + Cp_Database_200!$J46/0.64, 2), "-")</f>
        <v>76.489999999999995</v>
      </c>
      <c r="M46" s="15">
        <f>IF(AND(1000&gt;=$E46, 1000&lt;=$F46), ROUND(Cp_Database_200!$F46 + Cp_Database_200!$G46*1 + Cp_Database_200!$H46*1 + Cp_Database_200!$I46*1 + Cp_Database_200!$J46/1, 2), "-")</f>
        <v>81.44</v>
      </c>
      <c r="N46" s="15">
        <f>IF(AND(1200&gt;=$E46, 1200&lt;=$F46), ROUND(Cp_Database_200!$F46 + Cp_Database_200!$G46*1.2 + Cp_Database_200!$H46*1.44 + Cp_Database_200!$I46*1.728 + Cp_Database_200!$J46/1.44, 2), "-")</f>
        <v>86.51</v>
      </c>
      <c r="O46" s="15">
        <f>IF(AND(1500&gt;=$E46, 1500&lt;=$F46), ROUND(Cp_Database_200!$F46 + Cp_Database_200!$G46*1.5 + Cp_Database_200!$H46*2.25 + Cp_Database_200!$I46*3.375 + Cp_Database_200!$J46/2.25, 2), "-")</f>
        <v>94.68</v>
      </c>
      <c r="P46" s="15">
        <f>IF(AND(2000&gt;=$E46, 2000&lt;=$F46), ROUND(Cp_Database_200!$F46 + Cp_Database_200!$G46*2 + Cp_Database_200!$H46*4 + Cp_Database_200!$I46*8 + Cp_Database_200!$J46/4, 2), "-")</f>
        <v>110.2</v>
      </c>
    </row>
    <row r="47" spans="1:16" ht="15" x14ac:dyDescent="0.3">
      <c r="A47" s="8">
        <f>Cp_Database_200!A47</f>
        <v>46</v>
      </c>
      <c r="B47" s="9" t="str">
        <f>Cp_Database_200!B47</f>
        <v>Lead(II) Oxide</v>
      </c>
      <c r="C47" s="10" t="str">
        <f>Cp_Database_200!C47</f>
        <v>PbO</v>
      </c>
      <c r="D47" s="9" t="str">
        <f>Cp_Database_200!E47</f>
        <v>Ceramic (Oxide)</v>
      </c>
      <c r="E47" s="12">
        <f>Cp_Database_200!K47</f>
        <v>298</v>
      </c>
      <c r="F47" s="12">
        <f>Cp_Database_200!L47</f>
        <v>1159</v>
      </c>
      <c r="G47" s="16">
        <f>IF(AND(298.15&gt;=$E47, 298.15&lt;=$F47), ROUND(Cp_Database_200!$F47 + Cp_Database_200!$G47*0.29815 + Cp_Database_200!$H47*0.08889342 + Cp_Database_200!$I47*0.02650357 + Cp_Database_200!$J47/0.08889342, 2), "-")</f>
        <v>45.73</v>
      </c>
      <c r="H47" s="16">
        <f>IF(AND(400&gt;=$E47, 400&lt;=$F47), ROUND(Cp_Database_200!$F47 + Cp_Database_200!$G47*0.4 + Cp_Database_200!$H47*0.16 + Cp_Database_200!$I47*0.064 + Cp_Database_200!$J47/0.16, 2), "-")</f>
        <v>50.61</v>
      </c>
      <c r="I47" s="16">
        <f>IF(AND(500&gt;=$E47, 500&lt;=$F47), ROUND(Cp_Database_200!$F47 + Cp_Database_200!$G47*0.5 + Cp_Database_200!$H47*0.25 + Cp_Database_200!$I47*0.125 + Cp_Database_200!$J47/0.25, 2), "-")</f>
        <v>53.3</v>
      </c>
      <c r="J47" s="16">
        <f>IF(AND(600&gt;=$E47, 600&lt;=$F47), ROUND(Cp_Database_200!$F47 + Cp_Database_200!$G47*0.6 + Cp_Database_200!$H47*0.36 + Cp_Database_200!$I47*0.216 + Cp_Database_200!$J47/0.36, 2), "-")</f>
        <v>55.17</v>
      </c>
      <c r="K47" s="16">
        <f>IF(AND(700&gt;=$E47, 700&lt;=$F47), ROUND(Cp_Database_200!$F47 + Cp_Database_200!$G47*0.7 + Cp_Database_200!$H47*0.49 + Cp_Database_200!$I47*0.343 + Cp_Database_200!$J47/0.49, 2), "-")</f>
        <v>56.68</v>
      </c>
      <c r="L47" s="16">
        <f>IF(AND(800&gt;=$E47, 800&lt;=$F47), ROUND(Cp_Database_200!$F47 + Cp_Database_200!$G47*0.8 + Cp_Database_200!$H47*0.64 + Cp_Database_200!$I47*0.512 + Cp_Database_200!$J47/0.64, 2), "-")</f>
        <v>58</v>
      </c>
      <c r="M47" s="16">
        <f>IF(AND(1000&gt;=$E47, 1000&lt;=$F47), ROUND(Cp_Database_200!$F47 + Cp_Database_200!$G47*1 + Cp_Database_200!$H47*1 + Cp_Database_200!$I47*1 + Cp_Database_200!$J47/1, 2), "-")</f>
        <v>60.43</v>
      </c>
      <c r="N47" s="16" t="str">
        <f>IF(AND(1200&gt;=$E47, 1200&lt;=$F47), ROUND(Cp_Database_200!$F47 + Cp_Database_200!$G47*1.2 + Cp_Database_200!$H47*1.44 + Cp_Database_200!$I47*1.728 + Cp_Database_200!$J47/1.44, 2), "-")</f>
        <v>-</v>
      </c>
      <c r="O47" s="16" t="str">
        <f>IF(AND(1500&gt;=$E47, 1500&lt;=$F47), ROUND(Cp_Database_200!$F47 + Cp_Database_200!$G47*1.5 + Cp_Database_200!$H47*2.25 + Cp_Database_200!$I47*3.375 + Cp_Database_200!$J47/2.25, 2), "-")</f>
        <v>-</v>
      </c>
      <c r="P47" s="16" t="str">
        <f>IF(AND(2000&gt;=$E47, 2000&lt;=$F47), ROUND(Cp_Database_200!$F47 + Cp_Database_200!$G47*2 + Cp_Database_200!$H47*4 + Cp_Database_200!$I47*8 + Cp_Database_200!$J47/4, 2), "-")</f>
        <v>-</v>
      </c>
    </row>
    <row r="48" spans="1:16" ht="15" x14ac:dyDescent="0.3">
      <c r="A48" s="2">
        <f>Cp_Database_200!A48</f>
        <v>47</v>
      </c>
      <c r="B48" s="3" t="str">
        <f>Cp_Database_200!B48</f>
        <v>Lead(IV) Oxide</v>
      </c>
      <c r="C48" s="4" t="str">
        <f>Cp_Database_200!C48</f>
        <v>PbO2</v>
      </c>
      <c r="D48" s="3" t="str">
        <f>Cp_Database_200!E48</f>
        <v>Ceramic (Oxide)</v>
      </c>
      <c r="E48" s="6">
        <f>Cp_Database_200!K48</f>
        <v>298</v>
      </c>
      <c r="F48" s="6">
        <f>Cp_Database_200!L48</f>
        <v>1200</v>
      </c>
      <c r="G48" s="15">
        <f>IF(AND(298.15&gt;=$E48, 298.15&lt;=$F48), ROUND(Cp_Database_200!$F48 + Cp_Database_200!$G48*0.29815 + Cp_Database_200!$H48*0.08889342 + Cp_Database_200!$I48*0.02650357 + Cp_Database_200!$J48/0.08889342, 2), "-")</f>
        <v>61.15</v>
      </c>
      <c r="H48" s="15">
        <f>IF(AND(400&gt;=$E48, 400&lt;=$F48), ROUND(Cp_Database_200!$F48 + Cp_Database_200!$G48*0.4 + Cp_Database_200!$H48*0.16 + Cp_Database_200!$I48*0.064 + Cp_Database_200!$J48/0.16, 2), "-")</f>
        <v>67.709999999999994</v>
      </c>
      <c r="I48" s="15">
        <f>IF(AND(500&gt;=$E48, 500&lt;=$F48), ROUND(Cp_Database_200!$F48 + Cp_Database_200!$G48*0.5 + Cp_Database_200!$H48*0.25 + Cp_Database_200!$I48*0.125 + Cp_Database_200!$J48/0.25, 2), "-")</f>
        <v>71.650000000000006</v>
      </c>
      <c r="J48" s="15">
        <f>IF(AND(600&gt;=$E48, 600&lt;=$F48), ROUND(Cp_Database_200!$F48 + Cp_Database_200!$G48*0.6 + Cp_Database_200!$H48*0.36 + Cp_Database_200!$I48*0.216 + Cp_Database_200!$J48/0.36, 2), "-")</f>
        <v>74.36</v>
      </c>
      <c r="K48" s="15">
        <f>IF(AND(700&gt;=$E48, 700&lt;=$F48), ROUND(Cp_Database_200!$F48 + Cp_Database_200!$G48*0.7 + Cp_Database_200!$H48*0.49 + Cp_Database_200!$I48*0.343 + Cp_Database_200!$J48/0.49, 2), "-")</f>
        <v>76.290000000000006</v>
      </c>
      <c r="L48" s="15">
        <f>IF(AND(800&gt;=$E48, 800&lt;=$F48), ROUND(Cp_Database_200!$F48 + Cp_Database_200!$G48*0.8 + Cp_Database_200!$H48*0.64 + Cp_Database_200!$I48*0.512 + Cp_Database_200!$J48/0.64, 2), "-")</f>
        <v>77.67</v>
      </c>
      <c r="M48" s="15">
        <f>IF(AND(1000&gt;=$E48, 1000&lt;=$F48), ROUND(Cp_Database_200!$F48 + Cp_Database_200!$G48*1 + Cp_Database_200!$H48*1 + Cp_Database_200!$I48*1 + Cp_Database_200!$J48/1, 2), "-")</f>
        <v>79.239999999999995</v>
      </c>
      <c r="N48" s="15">
        <f>IF(AND(1200&gt;=$E48, 1200&lt;=$F48), ROUND(Cp_Database_200!$F48 + Cp_Database_200!$G48*1.2 + Cp_Database_200!$H48*1.44 + Cp_Database_200!$I48*1.728 + Cp_Database_200!$J48/1.44, 2), "-")</f>
        <v>79.760000000000005</v>
      </c>
      <c r="O48" s="15" t="str">
        <f>IF(AND(1500&gt;=$E48, 1500&lt;=$F48), ROUND(Cp_Database_200!$F48 + Cp_Database_200!$G48*1.5 + Cp_Database_200!$H48*2.25 + Cp_Database_200!$I48*3.375 + Cp_Database_200!$J48/2.25, 2), "-")</f>
        <v>-</v>
      </c>
      <c r="P48" s="15" t="str">
        <f>IF(AND(2000&gt;=$E48, 2000&lt;=$F48), ROUND(Cp_Database_200!$F48 + Cp_Database_200!$G48*2 + Cp_Database_200!$H48*4 + Cp_Database_200!$I48*8 + Cp_Database_200!$J48/4, 2), "-")</f>
        <v>-</v>
      </c>
    </row>
    <row r="49" spans="1:16" ht="15" x14ac:dyDescent="0.3">
      <c r="A49" s="8">
        <f>Cp_Database_200!A49</f>
        <v>48</v>
      </c>
      <c r="B49" s="9" t="str">
        <f>Cp_Database_200!B49</f>
        <v>Trilead Tetroxide</v>
      </c>
      <c r="C49" s="10" t="str">
        <f>Cp_Database_200!C49</f>
        <v>Pb3O4</v>
      </c>
      <c r="D49" s="9" t="str">
        <f>Cp_Database_200!E49</f>
        <v>Ceramic (Oxide)</v>
      </c>
      <c r="E49" s="12">
        <f>Cp_Database_200!K49</f>
        <v>298</v>
      </c>
      <c r="F49" s="12">
        <f>Cp_Database_200!L49</f>
        <v>1500</v>
      </c>
      <c r="G49" s="16">
        <f>IF(AND(298.15&gt;=$E49, 298.15&lt;=$F49), ROUND(Cp_Database_200!$F49 + Cp_Database_200!$G49*0.29815 + Cp_Database_200!$H49*0.08889342 + Cp_Database_200!$I49*0.02650357 + Cp_Database_200!$J49/0.08889342, 2), "-")</f>
        <v>154.74</v>
      </c>
      <c r="H49" s="16">
        <f>IF(AND(400&gt;=$E49, 400&lt;=$F49), ROUND(Cp_Database_200!$F49 + Cp_Database_200!$G49*0.4 + Cp_Database_200!$H49*0.16 + Cp_Database_200!$I49*0.064 + Cp_Database_200!$J49/0.16, 2), "-")</f>
        <v>173.76</v>
      </c>
      <c r="I49" s="16">
        <f>IF(AND(500&gt;=$E49, 500&lt;=$F49), ROUND(Cp_Database_200!$F49 + Cp_Database_200!$G49*0.5 + Cp_Database_200!$H49*0.25 + Cp_Database_200!$I49*0.125 + Cp_Database_200!$J49/0.25, 2), "-")</f>
        <v>183.53</v>
      </c>
      <c r="J49" s="16">
        <f>IF(AND(600&gt;=$E49, 600&lt;=$F49), ROUND(Cp_Database_200!$F49 + Cp_Database_200!$G49*0.6 + Cp_Database_200!$H49*0.36 + Cp_Database_200!$I49*0.216 + Cp_Database_200!$J49/0.36, 2), "-")</f>
        <v>190.02</v>
      </c>
      <c r="K49" s="16">
        <f>IF(AND(700&gt;=$E49, 700&lt;=$F49), ROUND(Cp_Database_200!$F49 + Cp_Database_200!$G49*0.7 + Cp_Database_200!$H49*0.49 + Cp_Database_200!$I49*0.343 + Cp_Database_200!$J49/0.49, 2), "-")</f>
        <v>195.07</v>
      </c>
      <c r="L49" s="16">
        <f>IF(AND(800&gt;=$E49, 800&lt;=$F49), ROUND(Cp_Database_200!$F49 + Cp_Database_200!$G49*0.8 + Cp_Database_200!$H49*0.64 + Cp_Database_200!$I49*0.512 + Cp_Database_200!$J49/0.64, 2), "-")</f>
        <v>199.48</v>
      </c>
      <c r="M49" s="16">
        <f>IF(AND(1000&gt;=$E49, 1000&lt;=$F49), ROUND(Cp_Database_200!$F49 + Cp_Database_200!$G49*1 + Cp_Database_200!$H49*1 + Cp_Database_200!$I49*1 + Cp_Database_200!$J49/1, 2), "-")</f>
        <v>207.62</v>
      </c>
      <c r="N49" s="16">
        <f>IF(AND(1200&gt;=$E49, 1200&lt;=$F49), ROUND(Cp_Database_200!$F49 + Cp_Database_200!$G49*1.2 + Cp_Database_200!$H49*1.44 + Cp_Database_200!$I49*1.728 + Cp_Database_200!$J49/1.44, 2), "-")</f>
        <v>215.72</v>
      </c>
      <c r="O49" s="16">
        <f>IF(AND(1500&gt;=$E49, 1500&lt;=$F49), ROUND(Cp_Database_200!$F49 + Cp_Database_200!$G49*1.5 + Cp_Database_200!$H49*2.25 + Cp_Database_200!$I49*3.375 + Cp_Database_200!$J49/2.25, 2), "-")</f>
        <v>228.61</v>
      </c>
      <c r="P49" s="16" t="str">
        <f>IF(AND(2000&gt;=$E49, 2000&lt;=$F49), ROUND(Cp_Database_200!$F49 + Cp_Database_200!$G49*2 + Cp_Database_200!$H49*4 + Cp_Database_200!$I49*8 + Cp_Database_200!$J49/4, 2), "-")</f>
        <v>-</v>
      </c>
    </row>
    <row r="50" spans="1:16" ht="15" x14ac:dyDescent="0.3">
      <c r="A50" s="2">
        <f>Cp_Database_200!A50</f>
        <v>49</v>
      </c>
      <c r="B50" s="3" t="str">
        <f>Cp_Database_200!B50</f>
        <v>Copper(II) Oxide</v>
      </c>
      <c r="C50" s="4" t="str">
        <f>Cp_Database_200!C50</f>
        <v>CuO</v>
      </c>
      <c r="D50" s="3" t="str">
        <f>Cp_Database_200!E50</f>
        <v>Semiconductor</v>
      </c>
      <c r="E50" s="6">
        <f>Cp_Database_200!K50</f>
        <v>298</v>
      </c>
      <c r="F50" s="6">
        <f>Cp_Database_200!L50</f>
        <v>2000</v>
      </c>
      <c r="G50" s="15">
        <f>IF(AND(298.15&gt;=$E50, 298.15&lt;=$F50), ROUND(Cp_Database_200!$F50 + Cp_Database_200!$G50*0.29815 + Cp_Database_200!$H50*0.08889342 + Cp_Database_200!$I50*0.02650357 + Cp_Database_200!$J50/0.08889342, 2), "-")</f>
        <v>42.25</v>
      </c>
      <c r="H50" s="15">
        <f>IF(AND(400&gt;=$E50, 400&lt;=$F50), ROUND(Cp_Database_200!$F50 + Cp_Database_200!$G50*0.4 + Cp_Database_200!$H50*0.16 + Cp_Database_200!$I50*0.064 + Cp_Database_200!$J50/0.16, 2), "-")</f>
        <v>46.81</v>
      </c>
      <c r="I50" s="15">
        <f>IF(AND(500&gt;=$E50, 500&lt;=$F50), ROUND(Cp_Database_200!$F50 + Cp_Database_200!$G50*0.5 + Cp_Database_200!$H50*0.25 + Cp_Database_200!$I50*0.125 + Cp_Database_200!$J50/0.25, 2), "-")</f>
        <v>49.26</v>
      </c>
      <c r="J50" s="15">
        <f>IF(AND(600&gt;=$E50, 600&lt;=$F50), ROUND(Cp_Database_200!$F50 + Cp_Database_200!$G50*0.6 + Cp_Database_200!$H50*0.36 + Cp_Database_200!$I50*0.216 + Cp_Database_200!$J50/0.36, 2), "-")</f>
        <v>50.94</v>
      </c>
      <c r="K50" s="15">
        <f>IF(AND(700&gt;=$E50, 700&lt;=$F50), ROUND(Cp_Database_200!$F50 + Cp_Database_200!$G50*0.7 + Cp_Database_200!$H50*0.49 + Cp_Database_200!$I50*0.343 + Cp_Database_200!$J50/0.49, 2), "-")</f>
        <v>52.24</v>
      </c>
      <c r="L50" s="15">
        <f>IF(AND(800&gt;=$E50, 800&lt;=$F50), ROUND(Cp_Database_200!$F50 + Cp_Database_200!$G50*0.8 + Cp_Database_200!$H50*0.64 + Cp_Database_200!$I50*0.512 + Cp_Database_200!$J50/0.64, 2), "-")</f>
        <v>53.35</v>
      </c>
      <c r="M50" s="15">
        <f>IF(AND(1000&gt;=$E50, 1000&lt;=$F50), ROUND(Cp_Database_200!$F50 + Cp_Database_200!$G50*1 + Cp_Database_200!$H50*1 + Cp_Database_200!$I50*1 + Cp_Database_200!$J50/1, 2), "-")</f>
        <v>55.26</v>
      </c>
      <c r="N50" s="15">
        <f>IF(AND(1200&gt;=$E50, 1200&lt;=$F50), ROUND(Cp_Database_200!$F50 + Cp_Database_200!$G50*1.2 + Cp_Database_200!$H50*1.44 + Cp_Database_200!$I50*1.728 + Cp_Database_200!$J50/1.44, 2), "-")</f>
        <v>56.98</v>
      </c>
      <c r="O50" s="15">
        <f>IF(AND(1500&gt;=$E50, 1500&lt;=$F50), ROUND(Cp_Database_200!$F50 + Cp_Database_200!$G50*1.5 + Cp_Database_200!$H50*2.25 + Cp_Database_200!$I50*3.375 + Cp_Database_200!$J50/2.25, 2), "-")</f>
        <v>59.4</v>
      </c>
      <c r="P50" s="15">
        <f>IF(AND(2000&gt;=$E50, 2000&lt;=$F50), ROUND(Cp_Database_200!$F50 + Cp_Database_200!$G50*2 + Cp_Database_200!$H50*4 + Cp_Database_200!$I50*8 + Cp_Database_200!$J50/4, 2), "-")</f>
        <v>63.26</v>
      </c>
    </row>
    <row r="51" spans="1:16" ht="15" x14ac:dyDescent="0.3">
      <c r="A51" s="8">
        <f>Cp_Database_200!A51</f>
        <v>50</v>
      </c>
      <c r="B51" s="9" t="str">
        <f>Cp_Database_200!B51</f>
        <v>Copper(I) Oxide</v>
      </c>
      <c r="C51" s="10" t="str">
        <f>Cp_Database_200!C51</f>
        <v>Cu2O</v>
      </c>
      <c r="D51" s="9" t="str">
        <f>Cp_Database_200!E51</f>
        <v>Semiconductor</v>
      </c>
      <c r="E51" s="12">
        <f>Cp_Database_200!K51</f>
        <v>298</v>
      </c>
      <c r="F51" s="12">
        <f>Cp_Database_200!L51</f>
        <v>1100</v>
      </c>
      <c r="G51" s="16">
        <f>IF(AND(298.15&gt;=$E51, 298.15&lt;=$F51), ROUND(Cp_Database_200!$F51 + Cp_Database_200!$G51*0.29815 + Cp_Database_200!$H51*0.08889342 + Cp_Database_200!$I51*0.02650357 + Cp_Database_200!$J51/0.08889342, 2), "-")</f>
        <v>62.55</v>
      </c>
      <c r="H51" s="16">
        <f>IF(AND(400&gt;=$E51, 400&lt;=$F51), ROUND(Cp_Database_200!$F51 + Cp_Database_200!$G51*0.4 + Cp_Database_200!$H51*0.16 + Cp_Database_200!$I51*0.064 + Cp_Database_200!$J51/0.16, 2), "-")</f>
        <v>67.650000000000006</v>
      </c>
      <c r="I51" s="16">
        <f>IF(AND(500&gt;=$E51, 500&lt;=$F51), ROUND(Cp_Database_200!$F51 + Cp_Database_200!$G51*0.5 + Cp_Database_200!$H51*0.25 + Cp_Database_200!$I51*0.125 + Cp_Database_200!$J51/0.25, 2), "-")</f>
        <v>70.95</v>
      </c>
      <c r="J51" s="16">
        <f>IF(AND(600&gt;=$E51, 600&lt;=$F51), ROUND(Cp_Database_200!$F51 + Cp_Database_200!$G51*0.6 + Cp_Database_200!$H51*0.36 + Cp_Database_200!$I51*0.216 + Cp_Database_200!$J51/0.36, 2), "-")</f>
        <v>73.489999999999995</v>
      </c>
      <c r="K51" s="16">
        <f>IF(AND(700&gt;=$E51, 700&lt;=$F51), ROUND(Cp_Database_200!$F51 + Cp_Database_200!$G51*0.7 + Cp_Database_200!$H51*0.49 + Cp_Database_200!$I51*0.343 + Cp_Database_200!$J51/0.49, 2), "-")</f>
        <v>75.650000000000006</v>
      </c>
      <c r="L51" s="16">
        <f>IF(AND(800&gt;=$E51, 800&lt;=$F51), ROUND(Cp_Database_200!$F51 + Cp_Database_200!$G51*0.8 + Cp_Database_200!$H51*0.64 + Cp_Database_200!$I51*0.512 + Cp_Database_200!$J51/0.64, 2), "-")</f>
        <v>77.59</v>
      </c>
      <c r="M51" s="16">
        <f>IF(AND(1000&gt;=$E51, 1000&lt;=$F51), ROUND(Cp_Database_200!$F51 + Cp_Database_200!$G51*1 + Cp_Database_200!$H51*1 + Cp_Database_200!$I51*1 + Cp_Database_200!$J51/1, 2), "-")</f>
        <v>81.349999999999994</v>
      </c>
      <c r="N51" s="16" t="str">
        <f>IF(AND(1200&gt;=$E51, 1200&lt;=$F51), ROUND(Cp_Database_200!$F51 + Cp_Database_200!$G51*1.2 + Cp_Database_200!$H51*1.44 + Cp_Database_200!$I51*1.728 + Cp_Database_200!$J51/1.44, 2), "-")</f>
        <v>-</v>
      </c>
      <c r="O51" s="16" t="str">
        <f>IF(AND(1500&gt;=$E51, 1500&lt;=$F51), ROUND(Cp_Database_200!$F51 + Cp_Database_200!$G51*1.5 + Cp_Database_200!$H51*2.25 + Cp_Database_200!$I51*3.375 + Cp_Database_200!$J51/2.25, 2), "-")</f>
        <v>-</v>
      </c>
      <c r="P51" s="16" t="str">
        <f>IF(AND(2000&gt;=$E51, 2000&lt;=$F51), ROUND(Cp_Database_200!$F51 + Cp_Database_200!$G51*2 + Cp_Database_200!$H51*4 + Cp_Database_200!$I51*8 + Cp_Database_200!$J51/4, 2), "-")</f>
        <v>-</v>
      </c>
    </row>
    <row r="52" spans="1:16" ht="15" x14ac:dyDescent="0.3">
      <c r="A52" s="2">
        <f>Cp_Database_200!A52</f>
        <v>51</v>
      </c>
      <c r="B52" s="3" t="str">
        <f>Cp_Database_200!B52</f>
        <v>Germanium(IV) Oxide</v>
      </c>
      <c r="C52" s="4" t="str">
        <f>Cp_Database_200!C52</f>
        <v>GeO2</v>
      </c>
      <c r="D52" s="3" t="str">
        <f>Cp_Database_200!E52</f>
        <v>Refractory &amp; Mineral</v>
      </c>
      <c r="E52" s="6">
        <f>Cp_Database_200!K52</f>
        <v>298</v>
      </c>
      <c r="F52" s="6">
        <f>Cp_Database_200!L52</f>
        <v>900</v>
      </c>
      <c r="G52" s="15">
        <f>IF(AND(298.15&gt;=$E52, 298.15&lt;=$F52), ROUND(Cp_Database_200!$F52 + Cp_Database_200!$G52*0.29815 + Cp_Database_200!$H52*0.08889342 + Cp_Database_200!$I52*0.02650357 + Cp_Database_200!$J52/0.08889342, 2), "-")</f>
        <v>147.22</v>
      </c>
      <c r="H52" s="15">
        <f>IF(AND(400&gt;=$E52, 400&lt;=$F52), ROUND(Cp_Database_200!$F52 + Cp_Database_200!$G52*0.4 + Cp_Database_200!$H52*0.16 + Cp_Database_200!$I52*0.064 + Cp_Database_200!$J52/0.16, 2), "-")</f>
        <v>171.17</v>
      </c>
      <c r="I52" s="15">
        <f>IF(AND(500&gt;=$E52, 500&lt;=$F52), ROUND(Cp_Database_200!$F52 + Cp_Database_200!$G52*0.5 + Cp_Database_200!$H52*0.25 + Cp_Database_200!$I52*0.125 + Cp_Database_200!$J52/0.25, 2), "-")</f>
        <v>192.28</v>
      </c>
      <c r="J52" s="15">
        <f>IF(AND(600&gt;=$E52, 600&lt;=$F52), ROUND(Cp_Database_200!$F52 + Cp_Database_200!$G52*0.6 + Cp_Database_200!$H52*0.36 + Cp_Database_200!$I52*0.216 + Cp_Database_200!$J52/0.36, 2), "-")</f>
        <v>212.62</v>
      </c>
      <c r="K52" s="15">
        <f>IF(AND(700&gt;=$E52, 700&lt;=$F52), ROUND(Cp_Database_200!$F52 + Cp_Database_200!$G52*0.7 + Cp_Database_200!$H52*0.49 + Cp_Database_200!$I52*0.343 + Cp_Database_200!$J52/0.49, 2), "-")</f>
        <v>232.73</v>
      </c>
      <c r="L52" s="15">
        <f>IF(AND(800&gt;=$E52, 800&lt;=$F52), ROUND(Cp_Database_200!$F52 + Cp_Database_200!$G52*0.8 + Cp_Database_200!$H52*0.64 + Cp_Database_200!$I52*0.512 + Cp_Database_200!$J52/0.64, 2), "-")</f>
        <v>252.84</v>
      </c>
      <c r="M52" s="15" t="str">
        <f>IF(AND(1000&gt;=$E52, 1000&lt;=$F52), ROUND(Cp_Database_200!$F52 + Cp_Database_200!$G52*1 + Cp_Database_200!$H52*1 + Cp_Database_200!$I52*1 + Cp_Database_200!$J52/1, 2), "-")</f>
        <v>-</v>
      </c>
      <c r="N52" s="15" t="str">
        <f>IF(AND(1200&gt;=$E52, 1200&lt;=$F52), ROUND(Cp_Database_200!$F52 + Cp_Database_200!$G52*1.2 + Cp_Database_200!$H52*1.44 + Cp_Database_200!$I52*1.728 + Cp_Database_200!$J52/1.44, 2), "-")</f>
        <v>-</v>
      </c>
      <c r="O52" s="15" t="str">
        <f>IF(AND(1500&gt;=$E52, 1500&lt;=$F52), ROUND(Cp_Database_200!$F52 + Cp_Database_200!$G52*1.5 + Cp_Database_200!$H52*2.25 + Cp_Database_200!$I52*3.375 + Cp_Database_200!$J52/2.25, 2), "-")</f>
        <v>-</v>
      </c>
      <c r="P52" s="15" t="str">
        <f>IF(AND(2000&gt;=$E52, 2000&lt;=$F52), ROUND(Cp_Database_200!$F52 + Cp_Database_200!$G52*2 + Cp_Database_200!$H52*4 + Cp_Database_200!$I52*8 + Cp_Database_200!$J52/4, 2), "-")</f>
        <v>-</v>
      </c>
    </row>
    <row r="53" spans="1:16" ht="15" x14ac:dyDescent="0.3">
      <c r="A53" s="8">
        <f>Cp_Database_200!A53</f>
        <v>52</v>
      </c>
      <c r="B53" s="9" t="str">
        <f>Cp_Database_200!B53</f>
        <v>Niobium(V) Oxide</v>
      </c>
      <c r="C53" s="10" t="str">
        <f>Cp_Database_200!C53</f>
        <v>Nb2O5</v>
      </c>
      <c r="D53" s="9" t="str">
        <f>Cp_Database_200!E53</f>
        <v>Ceramic (Oxide)</v>
      </c>
      <c r="E53" s="12">
        <f>Cp_Database_200!K53</f>
        <v>298</v>
      </c>
      <c r="F53" s="12">
        <f>Cp_Database_200!L53</f>
        <v>1785</v>
      </c>
      <c r="G53" s="16">
        <f>IF(AND(298.15&gt;=$E53, 298.15&lt;=$F53), ROUND(Cp_Database_200!$F53 + Cp_Database_200!$G53*0.29815 + Cp_Database_200!$H53*0.08889342 + Cp_Database_200!$I53*0.02650357 + Cp_Database_200!$J53/0.08889342, 2), "-")</f>
        <v>131.96</v>
      </c>
      <c r="H53" s="16">
        <f>IF(AND(400&gt;=$E53, 400&lt;=$F53), ROUND(Cp_Database_200!$F53 + Cp_Database_200!$G53*0.4 + Cp_Database_200!$H53*0.16 + Cp_Database_200!$I53*0.064 + Cp_Database_200!$J53/0.16, 2), "-")</f>
        <v>145.16999999999999</v>
      </c>
      <c r="I53" s="16">
        <f>IF(AND(500&gt;=$E53, 500&lt;=$F53), ROUND(Cp_Database_200!$F53 + Cp_Database_200!$G53*0.5 + Cp_Database_200!$H53*0.25 + Cp_Database_200!$I53*0.125 + Cp_Database_200!$J53/0.25, 2), "-")</f>
        <v>153.97999999999999</v>
      </c>
      <c r="J53" s="16">
        <f>IF(AND(600&gt;=$E53, 600&lt;=$F53), ROUND(Cp_Database_200!$F53 + Cp_Database_200!$G53*0.6 + Cp_Database_200!$H53*0.36 + Cp_Database_200!$I53*0.216 + Cp_Database_200!$J53/0.36, 2), "-")</f>
        <v>160.61000000000001</v>
      </c>
      <c r="K53" s="16">
        <f>IF(AND(700&gt;=$E53, 700&lt;=$F53), ROUND(Cp_Database_200!$F53 + Cp_Database_200!$G53*0.7 + Cp_Database_200!$H53*0.49 + Cp_Database_200!$I53*0.343 + Cp_Database_200!$J53/0.49, 2), "-")</f>
        <v>165.8</v>
      </c>
      <c r="L53" s="16">
        <f>IF(AND(800&gt;=$E53, 800&lt;=$F53), ROUND(Cp_Database_200!$F53 + Cp_Database_200!$G53*0.8 + Cp_Database_200!$H53*0.64 + Cp_Database_200!$I53*0.512 + Cp_Database_200!$J53/0.64, 2), "-")</f>
        <v>169.9</v>
      </c>
      <c r="M53" s="16">
        <f>IF(AND(1000&gt;=$E53, 1000&lt;=$F53), ROUND(Cp_Database_200!$F53 + Cp_Database_200!$G53*1 + Cp_Database_200!$H53*1 + Cp_Database_200!$I53*1 + Cp_Database_200!$J53/1, 2), "-")</f>
        <v>175.62</v>
      </c>
      <c r="N53" s="16">
        <f>IF(AND(1200&gt;=$E53, 1200&lt;=$F53), ROUND(Cp_Database_200!$F53 + Cp_Database_200!$G53*1.2 + Cp_Database_200!$H53*1.44 + Cp_Database_200!$I53*1.728 + Cp_Database_200!$J53/1.44, 2), "-")</f>
        <v>178.98</v>
      </c>
      <c r="O53" s="16">
        <f>IF(AND(1500&gt;=$E53, 1500&lt;=$F53), ROUND(Cp_Database_200!$F53 + Cp_Database_200!$G53*1.5 + Cp_Database_200!$H53*2.25 + Cp_Database_200!$I53*3.375 + Cp_Database_200!$J53/2.25, 2), "-")</f>
        <v>181.51</v>
      </c>
      <c r="P53" s="16" t="str">
        <f>IF(AND(2000&gt;=$E53, 2000&lt;=$F53), ROUND(Cp_Database_200!$F53 + Cp_Database_200!$G53*2 + Cp_Database_200!$H53*4 + Cp_Database_200!$I53*8 + Cp_Database_200!$J53/4, 2), "-")</f>
        <v>-</v>
      </c>
    </row>
    <row r="54" spans="1:16" ht="15" x14ac:dyDescent="0.3">
      <c r="A54" s="2">
        <f>Cp_Database_200!A54</f>
        <v>53</v>
      </c>
      <c r="B54" s="3" t="str">
        <f>Cp_Database_200!B54</f>
        <v>Tantalum(V) Oxide</v>
      </c>
      <c r="C54" s="4" t="str">
        <f>Cp_Database_200!C54</f>
        <v>Ta2O5</v>
      </c>
      <c r="D54" s="3" t="str">
        <f>Cp_Database_200!E54</f>
        <v>Ceramic (Oxide)</v>
      </c>
      <c r="E54" s="6">
        <f>Cp_Database_200!K54</f>
        <v>298</v>
      </c>
      <c r="F54" s="6">
        <f>Cp_Database_200!L54</f>
        <v>2058</v>
      </c>
      <c r="G54" s="15">
        <f>IF(AND(298.15&gt;=$E54, 298.15&lt;=$F54), ROUND(Cp_Database_200!$F54 + Cp_Database_200!$G54*0.29815 + Cp_Database_200!$H54*0.08889342 + Cp_Database_200!$I54*0.02650357 + Cp_Database_200!$J54/0.08889342, 2), "-")</f>
        <v>134.66999999999999</v>
      </c>
      <c r="H54" s="15">
        <f>IF(AND(400&gt;=$E54, 400&lt;=$F54), ROUND(Cp_Database_200!$F54 + Cp_Database_200!$G54*0.4 + Cp_Database_200!$H54*0.16 + Cp_Database_200!$I54*0.064 + Cp_Database_200!$J54/0.16, 2), "-")</f>
        <v>148.74</v>
      </c>
      <c r="I54" s="15">
        <f>IF(AND(500&gt;=$E54, 500&lt;=$F54), ROUND(Cp_Database_200!$F54 + Cp_Database_200!$G54*0.5 + Cp_Database_200!$H54*0.25 + Cp_Database_200!$I54*0.125 + Cp_Database_200!$J54/0.25, 2), "-")</f>
        <v>157.66999999999999</v>
      </c>
      <c r="J54" s="15">
        <f>IF(AND(600&gt;=$E54, 600&lt;=$F54), ROUND(Cp_Database_200!$F54 + Cp_Database_200!$G54*0.6 + Cp_Database_200!$H54*0.36 + Cp_Database_200!$I54*0.216 + Cp_Database_200!$J54/0.36, 2), "-")</f>
        <v>164.41</v>
      </c>
      <c r="K54" s="15">
        <f>IF(AND(700&gt;=$E54, 700&lt;=$F54), ROUND(Cp_Database_200!$F54 + Cp_Database_200!$G54*0.7 + Cp_Database_200!$H54*0.49 + Cp_Database_200!$I54*0.343 + Cp_Database_200!$J54/0.49, 2), "-")</f>
        <v>169.88</v>
      </c>
      <c r="L54" s="15">
        <f>IF(AND(800&gt;=$E54, 800&lt;=$F54), ROUND(Cp_Database_200!$F54 + Cp_Database_200!$G54*0.8 + Cp_Database_200!$H54*0.64 + Cp_Database_200!$I54*0.512 + Cp_Database_200!$J54/0.64, 2), "-")</f>
        <v>174.47</v>
      </c>
      <c r="M54" s="15">
        <f>IF(AND(1000&gt;=$E54, 1000&lt;=$F54), ROUND(Cp_Database_200!$F54 + Cp_Database_200!$G54*1 + Cp_Database_200!$H54*1 + Cp_Database_200!$I54*1 + Cp_Database_200!$J54/1, 2), "-")</f>
        <v>181.76</v>
      </c>
      <c r="N54" s="15">
        <f>IF(AND(1200&gt;=$E54, 1200&lt;=$F54), ROUND(Cp_Database_200!$F54 + Cp_Database_200!$G54*1.2 + Cp_Database_200!$H54*1.44 + Cp_Database_200!$I54*1.728 + Cp_Database_200!$J54/1.44, 2), "-")</f>
        <v>187.19</v>
      </c>
      <c r="O54" s="15">
        <f>IF(AND(1500&gt;=$E54, 1500&lt;=$F54), ROUND(Cp_Database_200!$F54 + Cp_Database_200!$G54*1.5 + Cp_Database_200!$H54*2.25 + Cp_Database_200!$I54*3.375 + Cp_Database_200!$J54/2.25, 2), "-")</f>
        <v>192.85</v>
      </c>
      <c r="P54" s="15">
        <f>IF(AND(2000&gt;=$E54, 2000&lt;=$F54), ROUND(Cp_Database_200!$F54 + Cp_Database_200!$G54*2 + Cp_Database_200!$H54*4 + Cp_Database_200!$I54*8 + Cp_Database_200!$J54/4, 2), "-")</f>
        <v>198.28</v>
      </c>
    </row>
    <row r="55" spans="1:16" ht="15" x14ac:dyDescent="0.3">
      <c r="A55" s="8">
        <f>Cp_Database_200!A55</f>
        <v>54</v>
      </c>
      <c r="B55" s="9" t="str">
        <f>Cp_Database_200!B55</f>
        <v>Boron Trioxide</v>
      </c>
      <c r="C55" s="10" t="str">
        <f>Cp_Database_200!C55</f>
        <v>B2O3</v>
      </c>
      <c r="D55" s="9" t="str">
        <f>Cp_Database_200!E55</f>
        <v>Refractory &amp; Mineral</v>
      </c>
      <c r="E55" s="12">
        <f>Cp_Database_200!K55</f>
        <v>298</v>
      </c>
      <c r="F55" s="12">
        <f>Cp_Database_200!L55</f>
        <v>723</v>
      </c>
      <c r="G55" s="16">
        <f>IF(AND(298.15&gt;=$E55, 298.15&lt;=$F55), ROUND(Cp_Database_200!$F55 + Cp_Database_200!$G55*0.29815 + Cp_Database_200!$H55*0.08889342 + Cp_Database_200!$I55*0.02650357 + Cp_Database_200!$J55/0.08889342, 2), "-")</f>
        <v>62.59</v>
      </c>
      <c r="H55" s="16">
        <f>IF(AND(400&gt;=$E55, 400&lt;=$F55), ROUND(Cp_Database_200!$F55 + Cp_Database_200!$G55*0.4 + Cp_Database_200!$H55*0.16 + Cp_Database_200!$I55*0.064 + Cp_Database_200!$J55/0.16, 2), "-")</f>
        <v>77.95</v>
      </c>
      <c r="I55" s="16">
        <f>IF(AND(500&gt;=$E55, 500&lt;=$F55), ROUND(Cp_Database_200!$F55 + Cp_Database_200!$G55*0.5 + Cp_Database_200!$H55*0.25 + Cp_Database_200!$I55*0.125 + Cp_Database_200!$J55/0.25, 2), "-")</f>
        <v>89.29</v>
      </c>
      <c r="J55" s="16">
        <f>IF(AND(600&gt;=$E55, 600&lt;=$F55), ROUND(Cp_Database_200!$F55 + Cp_Database_200!$G55*0.6 + Cp_Database_200!$H55*0.36 + Cp_Database_200!$I55*0.216 + Cp_Database_200!$J55/0.36, 2), "-")</f>
        <v>98.12</v>
      </c>
      <c r="K55" s="16">
        <f>IF(AND(700&gt;=$E55, 700&lt;=$F55), ROUND(Cp_Database_200!$F55 + Cp_Database_200!$G55*0.7 + Cp_Database_200!$H55*0.49 + Cp_Database_200!$I55*0.343 + Cp_Database_200!$J55/0.49, 2), "-")</f>
        <v>105.23</v>
      </c>
      <c r="L55" s="16" t="str">
        <f>IF(AND(800&gt;=$E55, 800&lt;=$F55), ROUND(Cp_Database_200!$F55 + Cp_Database_200!$G55*0.8 + Cp_Database_200!$H55*0.64 + Cp_Database_200!$I55*0.512 + Cp_Database_200!$J55/0.64, 2), "-")</f>
        <v>-</v>
      </c>
      <c r="M55" s="16" t="str">
        <f>IF(AND(1000&gt;=$E55, 1000&lt;=$F55), ROUND(Cp_Database_200!$F55 + Cp_Database_200!$G55*1 + Cp_Database_200!$H55*1 + Cp_Database_200!$I55*1 + Cp_Database_200!$J55/1, 2), "-")</f>
        <v>-</v>
      </c>
      <c r="N55" s="16" t="str">
        <f>IF(AND(1200&gt;=$E55, 1200&lt;=$F55), ROUND(Cp_Database_200!$F55 + Cp_Database_200!$G55*1.2 + Cp_Database_200!$H55*1.44 + Cp_Database_200!$I55*1.728 + Cp_Database_200!$J55/1.44, 2), "-")</f>
        <v>-</v>
      </c>
      <c r="O55" s="16" t="str">
        <f>IF(AND(1500&gt;=$E55, 1500&lt;=$F55), ROUND(Cp_Database_200!$F55 + Cp_Database_200!$G55*1.5 + Cp_Database_200!$H55*2.25 + Cp_Database_200!$I55*3.375 + Cp_Database_200!$J55/2.25, 2), "-")</f>
        <v>-</v>
      </c>
      <c r="P55" s="16" t="str">
        <f>IF(AND(2000&gt;=$E55, 2000&lt;=$F55), ROUND(Cp_Database_200!$F55 + Cp_Database_200!$G55*2 + Cp_Database_200!$H55*4 + Cp_Database_200!$I55*8 + Cp_Database_200!$J55/4, 2), "-")</f>
        <v>-</v>
      </c>
    </row>
    <row r="56" spans="1:16" ht="15" x14ac:dyDescent="0.3">
      <c r="A56" s="2">
        <f>Cp_Database_200!A56</f>
        <v>55</v>
      </c>
      <c r="B56" s="3" t="str">
        <f>Cp_Database_200!B56</f>
        <v>Silicon Carbide</v>
      </c>
      <c r="C56" s="4" t="str">
        <f>Cp_Database_200!C56</f>
        <v>SiC</v>
      </c>
      <c r="D56" s="3" t="str">
        <f>Cp_Database_200!E56</f>
        <v>Ceramic (Carbide)</v>
      </c>
      <c r="E56" s="6">
        <f>Cp_Database_200!K56</f>
        <v>298</v>
      </c>
      <c r="F56" s="6">
        <f>Cp_Database_200!L56</f>
        <v>1000</v>
      </c>
      <c r="G56" s="15">
        <f>IF(AND(298.15&gt;=$E56, 298.15&lt;=$F56), ROUND(Cp_Database_200!$F56 + Cp_Database_200!$G56*0.29815 + Cp_Database_200!$H56*0.08889342 + Cp_Database_200!$I56*0.02650357 + Cp_Database_200!$J56/0.08889342, 2), "-")</f>
        <v>26.76</v>
      </c>
      <c r="H56" s="15">
        <f>IF(AND(400&gt;=$E56, 400&lt;=$F56), ROUND(Cp_Database_200!$F56 + Cp_Database_200!$G56*0.4 + Cp_Database_200!$H56*0.16 + Cp_Database_200!$I56*0.064 + Cp_Database_200!$J56/0.16, 2), "-")</f>
        <v>34.11</v>
      </c>
      <c r="I56" s="15">
        <f>IF(AND(500&gt;=$E56, 500&lt;=$F56), ROUND(Cp_Database_200!$F56 + Cp_Database_200!$G56*0.5 + Cp_Database_200!$H56*0.25 + Cp_Database_200!$I56*0.125 + Cp_Database_200!$J56/0.25, 2), "-")</f>
        <v>38.590000000000003</v>
      </c>
      <c r="J56" s="15">
        <f>IF(AND(600&gt;=$E56, 600&lt;=$F56), ROUND(Cp_Database_200!$F56 + Cp_Database_200!$G56*0.6 + Cp_Database_200!$H56*0.36 + Cp_Database_200!$I56*0.216 + Cp_Database_200!$J56/0.36, 2), "-")</f>
        <v>41.72</v>
      </c>
      <c r="K56" s="15">
        <f>IF(AND(700&gt;=$E56, 700&lt;=$F56), ROUND(Cp_Database_200!$F56 + Cp_Database_200!$G56*0.7 + Cp_Database_200!$H56*0.49 + Cp_Database_200!$I56*0.343 + Cp_Database_200!$J56/0.49, 2), "-")</f>
        <v>44.02</v>
      </c>
      <c r="L56" s="15">
        <f>IF(AND(800&gt;=$E56, 800&lt;=$F56), ROUND(Cp_Database_200!$F56 + Cp_Database_200!$G56*0.8 + Cp_Database_200!$H56*0.64 + Cp_Database_200!$I56*0.512 + Cp_Database_200!$J56/0.64, 2), "-")</f>
        <v>45.77</v>
      </c>
      <c r="M56" s="15">
        <f>IF(AND(1000&gt;=$E56, 1000&lt;=$F56), ROUND(Cp_Database_200!$F56 + Cp_Database_200!$G56*1 + Cp_Database_200!$H56*1 + Cp_Database_200!$I56*1 + Cp_Database_200!$J56/1, 2), "-")</f>
        <v>48.33</v>
      </c>
      <c r="N56" s="15" t="str">
        <f>IF(AND(1200&gt;=$E56, 1200&lt;=$F56), ROUND(Cp_Database_200!$F56 + Cp_Database_200!$G56*1.2 + Cp_Database_200!$H56*1.44 + Cp_Database_200!$I56*1.728 + Cp_Database_200!$J56/1.44, 2), "-")</f>
        <v>-</v>
      </c>
      <c r="O56" s="15" t="str">
        <f>IF(AND(1500&gt;=$E56, 1500&lt;=$F56), ROUND(Cp_Database_200!$F56 + Cp_Database_200!$G56*1.5 + Cp_Database_200!$H56*2.25 + Cp_Database_200!$I56*3.375 + Cp_Database_200!$J56/2.25, 2), "-")</f>
        <v>-</v>
      </c>
      <c r="P56" s="15" t="str">
        <f>IF(AND(2000&gt;=$E56, 2000&lt;=$F56), ROUND(Cp_Database_200!$F56 + Cp_Database_200!$G56*2 + Cp_Database_200!$H56*4 + Cp_Database_200!$I56*8 + Cp_Database_200!$J56/4, 2), "-")</f>
        <v>-</v>
      </c>
    </row>
    <row r="57" spans="1:16" ht="15" x14ac:dyDescent="0.3">
      <c r="A57" s="8">
        <f>Cp_Database_200!A57</f>
        <v>56</v>
      </c>
      <c r="B57" s="9" t="str">
        <f>Cp_Database_200!B57</f>
        <v>Boron Carbide</v>
      </c>
      <c r="C57" s="10" t="str">
        <f>Cp_Database_200!C57</f>
        <v>B4C</v>
      </c>
      <c r="D57" s="9" t="str">
        <f>Cp_Database_200!E57</f>
        <v>Ceramic (Carbide)</v>
      </c>
      <c r="E57" s="12">
        <f>Cp_Database_200!K57</f>
        <v>298</v>
      </c>
      <c r="F57" s="12">
        <f>Cp_Database_200!L57</f>
        <v>2743</v>
      </c>
      <c r="G57" s="16">
        <f>IF(AND(298.15&gt;=$E57, 298.15&lt;=$F57), ROUND(Cp_Database_200!$F57 + Cp_Database_200!$G57*0.29815 + Cp_Database_200!$H57*0.08889342 + Cp_Database_200!$I57*0.02650357 + Cp_Database_200!$J57/0.08889342, 2), "-")</f>
        <v>53.43</v>
      </c>
      <c r="H57" s="16">
        <f>IF(AND(400&gt;=$E57, 400&lt;=$F57), ROUND(Cp_Database_200!$F57 + Cp_Database_200!$G57*0.4 + Cp_Database_200!$H57*0.16 + Cp_Database_200!$I57*0.064 + Cp_Database_200!$J57/0.16, 2), "-")</f>
        <v>77.73</v>
      </c>
      <c r="I57" s="16">
        <f>IF(AND(500&gt;=$E57, 500&lt;=$F57), ROUND(Cp_Database_200!$F57 + Cp_Database_200!$G57*0.5 + Cp_Database_200!$H57*0.25 + Cp_Database_200!$I57*0.125 + Cp_Database_200!$J57/0.25, 2), "-")</f>
        <v>89.91</v>
      </c>
      <c r="J57" s="16">
        <f>IF(AND(600&gt;=$E57, 600&lt;=$F57), ROUND(Cp_Database_200!$F57 + Cp_Database_200!$G57*0.6 + Cp_Database_200!$H57*0.36 + Cp_Database_200!$I57*0.216 + Cp_Database_200!$J57/0.36, 2), "-")</f>
        <v>97.56</v>
      </c>
      <c r="K57" s="16">
        <f>IF(AND(700&gt;=$E57, 700&lt;=$F57), ROUND(Cp_Database_200!$F57 + Cp_Database_200!$G57*0.7 + Cp_Database_200!$H57*0.49 + Cp_Database_200!$I57*0.343 + Cp_Database_200!$J57/0.49, 2), "-")</f>
        <v>103.07</v>
      </c>
      <c r="L57" s="16">
        <f>IF(AND(800&gt;=$E57, 800&lt;=$F57), ROUND(Cp_Database_200!$F57 + Cp_Database_200!$G57*0.8 + Cp_Database_200!$H57*0.64 + Cp_Database_200!$I57*0.512 + Cp_Database_200!$J57/0.64, 2), "-")</f>
        <v>107.44</v>
      </c>
      <c r="M57" s="16">
        <f>IF(AND(1000&gt;=$E57, 1000&lt;=$F57), ROUND(Cp_Database_200!$F57 + Cp_Database_200!$G57*1 + Cp_Database_200!$H57*1 + Cp_Database_200!$I57*1 + Cp_Database_200!$J57/1, 2), "-")</f>
        <v>114.44</v>
      </c>
      <c r="N57" s="16">
        <f>IF(AND(1200&gt;=$E57, 1200&lt;=$F57), ROUND(Cp_Database_200!$F57 + Cp_Database_200!$G57*1.2 + Cp_Database_200!$H57*1.44 + Cp_Database_200!$I57*1.728 + Cp_Database_200!$J57/1.44, 2), "-")</f>
        <v>120.3</v>
      </c>
      <c r="O57" s="16">
        <f>IF(AND(1500&gt;=$E57, 1500&lt;=$F57), ROUND(Cp_Database_200!$F57 + Cp_Database_200!$G57*1.5 + Cp_Database_200!$H57*2.25 + Cp_Database_200!$I57*3.375 + Cp_Database_200!$J57/2.25, 2), "-")</f>
        <v>128.15</v>
      </c>
      <c r="P57" s="16">
        <f>IF(AND(2000&gt;=$E57, 2000&lt;=$F57), ROUND(Cp_Database_200!$F57 + Cp_Database_200!$G57*2 + Cp_Database_200!$H57*4 + Cp_Database_200!$I57*8 + Cp_Database_200!$J57/4, 2), "-")</f>
        <v>140.24</v>
      </c>
    </row>
    <row r="58" spans="1:16" ht="15" x14ac:dyDescent="0.3">
      <c r="A58" s="2">
        <f>Cp_Database_200!A58</f>
        <v>57</v>
      </c>
      <c r="B58" s="3" t="str">
        <f>Cp_Database_200!B58</f>
        <v>Zirconium Carbide</v>
      </c>
      <c r="C58" s="4" t="str">
        <f>Cp_Database_200!C58</f>
        <v>ZrC</v>
      </c>
      <c r="D58" s="3" t="str">
        <f>Cp_Database_200!E58</f>
        <v>Ceramic (Carbide)</v>
      </c>
      <c r="E58" s="6">
        <f>Cp_Database_200!K58</f>
        <v>298</v>
      </c>
      <c r="F58" s="6">
        <f>Cp_Database_200!L58</f>
        <v>3805</v>
      </c>
      <c r="G58" s="15">
        <f>IF(AND(298.15&gt;=$E58, 298.15&lt;=$F58), ROUND(Cp_Database_200!$F58 + Cp_Database_200!$G58*0.29815 + Cp_Database_200!$H58*0.08889342 + Cp_Database_200!$I58*0.02650357 + Cp_Database_200!$J58/0.08889342, 2), "-")</f>
        <v>37.44</v>
      </c>
      <c r="H58" s="15">
        <f>IF(AND(400&gt;=$E58, 400&lt;=$F58), ROUND(Cp_Database_200!$F58 + Cp_Database_200!$G58*0.4 + Cp_Database_200!$H58*0.16 + Cp_Database_200!$I58*0.064 + Cp_Database_200!$J58/0.16, 2), "-")</f>
        <v>44.32</v>
      </c>
      <c r="I58" s="15">
        <f>IF(AND(500&gt;=$E58, 500&lt;=$F58), ROUND(Cp_Database_200!$F58 + Cp_Database_200!$G58*0.5 + Cp_Database_200!$H58*0.25 + Cp_Database_200!$I58*0.125 + Cp_Database_200!$J58/0.25, 2), "-")</f>
        <v>47.61</v>
      </c>
      <c r="J58" s="15">
        <f>IF(AND(600&gt;=$E58, 600&lt;=$F58), ROUND(Cp_Database_200!$F58 + Cp_Database_200!$G58*0.6 + Cp_Database_200!$H58*0.36 + Cp_Database_200!$I58*0.216 + Cp_Database_200!$J58/0.36, 2), "-")</f>
        <v>49.55</v>
      </c>
      <c r="K58" s="15">
        <f>IF(AND(700&gt;=$E58, 700&lt;=$F58), ROUND(Cp_Database_200!$F58 + Cp_Database_200!$G58*0.7 + Cp_Database_200!$H58*0.49 + Cp_Database_200!$I58*0.343 + Cp_Database_200!$J58/0.49, 2), "-")</f>
        <v>50.86</v>
      </c>
      <c r="L58" s="15">
        <f>IF(AND(800&gt;=$E58, 800&lt;=$F58), ROUND(Cp_Database_200!$F58 + Cp_Database_200!$G58*0.8 + Cp_Database_200!$H58*0.64 + Cp_Database_200!$I58*0.512 + Cp_Database_200!$J58/0.64, 2), "-")</f>
        <v>51.83</v>
      </c>
      <c r="M58" s="15">
        <f>IF(AND(1000&gt;=$E58, 1000&lt;=$F58), ROUND(Cp_Database_200!$F58 + Cp_Database_200!$G58*1 + Cp_Database_200!$H58*1 + Cp_Database_200!$I58*1 + Cp_Database_200!$J58/1, 2), "-")</f>
        <v>53.24</v>
      </c>
      <c r="N58" s="15">
        <f>IF(AND(1200&gt;=$E58, 1200&lt;=$F58), ROUND(Cp_Database_200!$F58 + Cp_Database_200!$G58*1.2 + Cp_Database_200!$H58*1.44 + Cp_Database_200!$I58*1.728 + Cp_Database_200!$J58/1.44, 2), "-")</f>
        <v>54.31</v>
      </c>
      <c r="O58" s="15">
        <f>IF(AND(1500&gt;=$E58, 1500&lt;=$F58), ROUND(Cp_Database_200!$F58 + Cp_Database_200!$G58*1.5 + Cp_Database_200!$H58*2.25 + Cp_Database_200!$I58*3.375 + Cp_Database_200!$J58/2.25, 2), "-")</f>
        <v>55.63</v>
      </c>
      <c r="P58" s="15">
        <f>IF(AND(2000&gt;=$E58, 2000&lt;=$F58), ROUND(Cp_Database_200!$F58 + Cp_Database_200!$G58*2 + Cp_Database_200!$H58*4 + Cp_Database_200!$I58*8 + Cp_Database_200!$J58/4, 2), "-")</f>
        <v>57.51</v>
      </c>
    </row>
    <row r="59" spans="1:16" ht="15" x14ac:dyDescent="0.3">
      <c r="A59" s="8">
        <f>Cp_Database_200!A59</f>
        <v>58</v>
      </c>
      <c r="B59" s="9" t="str">
        <f>Cp_Database_200!B59</f>
        <v>Chromium Carbide (trichromium dicarbide)</v>
      </c>
      <c r="C59" s="10" t="str">
        <f>Cp_Database_200!C59</f>
        <v>Cr3C2</v>
      </c>
      <c r="D59" s="9" t="str">
        <f>Cp_Database_200!E59</f>
        <v>Ceramic (Carbide)</v>
      </c>
      <c r="E59" s="12">
        <f>Cp_Database_200!K59</f>
        <v>298</v>
      </c>
      <c r="F59" s="12">
        <f>Cp_Database_200!L59</f>
        <v>2500</v>
      </c>
      <c r="G59" s="16">
        <f>IF(AND(298.15&gt;=$E59, 298.15&lt;=$F59), ROUND(Cp_Database_200!$F59 + Cp_Database_200!$G59*0.29815 + Cp_Database_200!$H59*0.08889342 + Cp_Database_200!$I59*0.02650357 + Cp_Database_200!$J59/0.08889342, 2), "-")</f>
        <v>99.08</v>
      </c>
      <c r="H59" s="16">
        <f>IF(AND(400&gt;=$E59, 400&lt;=$F59), ROUND(Cp_Database_200!$F59 + Cp_Database_200!$G59*0.4 + Cp_Database_200!$H59*0.16 + Cp_Database_200!$I59*0.064 + Cp_Database_200!$J59/0.16, 2), "-")</f>
        <v>116.5</v>
      </c>
      <c r="I59" s="16">
        <f>IF(AND(500&gt;=$E59, 500&lt;=$F59), ROUND(Cp_Database_200!$F59 + Cp_Database_200!$G59*0.5 + Cp_Database_200!$H59*0.25 + Cp_Database_200!$I59*0.125 + Cp_Database_200!$J59/0.25, 2), "-")</f>
        <v>125.32</v>
      </c>
      <c r="J59" s="16">
        <f>IF(AND(600&gt;=$E59, 600&lt;=$F59), ROUND(Cp_Database_200!$F59 + Cp_Database_200!$G59*0.6 + Cp_Database_200!$H59*0.36 + Cp_Database_200!$I59*0.216 + Cp_Database_200!$J59/0.36, 2), "-")</f>
        <v>131.02000000000001</v>
      </c>
      <c r="K59" s="16">
        <f>IF(AND(700&gt;=$E59, 700&lt;=$F59), ROUND(Cp_Database_200!$F59 + Cp_Database_200!$G59*0.7 + Cp_Database_200!$H59*0.49 + Cp_Database_200!$I59*0.343 + Cp_Database_200!$J59/0.49, 2), "-")</f>
        <v>135.34</v>
      </c>
      <c r="L59" s="16">
        <f>IF(AND(800&gt;=$E59, 800&lt;=$F59), ROUND(Cp_Database_200!$F59 + Cp_Database_200!$G59*0.8 + Cp_Database_200!$H59*0.64 + Cp_Database_200!$I59*0.512 + Cp_Database_200!$J59/0.64, 2), "-")</f>
        <v>138.99</v>
      </c>
      <c r="M59" s="16">
        <f>IF(AND(1000&gt;=$E59, 1000&lt;=$F59), ROUND(Cp_Database_200!$F59 + Cp_Database_200!$G59*1 + Cp_Database_200!$H59*1 + Cp_Database_200!$I59*1 + Cp_Database_200!$J59/1, 2), "-")</f>
        <v>145.44999999999999</v>
      </c>
      <c r="N59" s="16">
        <f>IF(AND(1200&gt;=$E59, 1200&lt;=$F59), ROUND(Cp_Database_200!$F59 + Cp_Database_200!$G59*1.2 + Cp_Database_200!$H59*1.44 + Cp_Database_200!$I59*1.728 + Cp_Database_200!$J59/1.44, 2), "-")</f>
        <v>151.59</v>
      </c>
      <c r="O59" s="16">
        <f>IF(AND(1500&gt;=$E59, 1500&lt;=$F59), ROUND(Cp_Database_200!$F59 + Cp_Database_200!$G59*1.5 + Cp_Database_200!$H59*2.25 + Cp_Database_200!$I59*3.375 + Cp_Database_200!$J59/2.25, 2), "-")</f>
        <v>160.88999999999999</v>
      </c>
      <c r="P59" s="16">
        <f>IF(AND(2000&gt;=$E59, 2000&lt;=$F59), ROUND(Cp_Database_200!$F59 + Cp_Database_200!$G59*2 + Cp_Database_200!$H59*4 + Cp_Database_200!$I59*8 + Cp_Database_200!$J59/4, 2), "-")</f>
        <v>177.11</v>
      </c>
    </row>
    <row r="60" spans="1:16" ht="15" x14ac:dyDescent="0.3">
      <c r="A60" s="2">
        <f>Cp_Database_200!A60</f>
        <v>59</v>
      </c>
      <c r="B60" s="3" t="str">
        <f>Cp_Database_200!B60</f>
        <v>Chromium Carbide (heptachromium tricarbide)</v>
      </c>
      <c r="C60" s="4" t="str">
        <f>Cp_Database_200!C60</f>
        <v>Cr7C3</v>
      </c>
      <c r="D60" s="3" t="str">
        <f>Cp_Database_200!E60</f>
        <v>Ceramic (Carbide)</v>
      </c>
      <c r="E60" s="6">
        <f>Cp_Database_200!K60</f>
        <v>298</v>
      </c>
      <c r="F60" s="6">
        <f>Cp_Database_200!L60</f>
        <v>2500</v>
      </c>
      <c r="G60" s="15">
        <f>IF(AND(298.15&gt;=$E60, 298.15&lt;=$F60), ROUND(Cp_Database_200!$F60 + Cp_Database_200!$G60*0.29815 + Cp_Database_200!$H60*0.08889342 + Cp_Database_200!$I60*0.02650357 + Cp_Database_200!$J60/0.08889342, 2), "-")</f>
        <v>209.62</v>
      </c>
      <c r="H60" s="15">
        <f>IF(AND(400&gt;=$E60, 400&lt;=$F60), ROUND(Cp_Database_200!$F60 + Cp_Database_200!$G60*0.4 + Cp_Database_200!$H60*0.16 + Cp_Database_200!$I60*0.064 + Cp_Database_200!$J60/0.16, 2), "-")</f>
        <v>237.35</v>
      </c>
      <c r="I60" s="15">
        <f>IF(AND(500&gt;=$E60, 500&lt;=$F60), ROUND(Cp_Database_200!$F60 + Cp_Database_200!$G60*0.5 + Cp_Database_200!$H60*0.25 + Cp_Database_200!$I60*0.125 + Cp_Database_200!$J60/0.25, 2), "-")</f>
        <v>252.46</v>
      </c>
      <c r="J60" s="15">
        <f>IF(AND(600&gt;=$E60, 600&lt;=$F60), ROUND(Cp_Database_200!$F60 + Cp_Database_200!$G60*0.6 + Cp_Database_200!$H60*0.36 + Cp_Database_200!$I60*0.216 + Cp_Database_200!$J60/0.36, 2), "-")</f>
        <v>263.12</v>
      </c>
      <c r="K60" s="15">
        <f>IF(AND(700&gt;=$E60, 700&lt;=$F60), ROUND(Cp_Database_200!$F60 + Cp_Database_200!$G60*0.7 + Cp_Database_200!$H60*0.49 + Cp_Database_200!$I60*0.343 + Cp_Database_200!$J60/0.49, 2), "-")</f>
        <v>271.86</v>
      </c>
      <c r="L60" s="15">
        <f>IF(AND(800&gt;=$E60, 800&lt;=$F60), ROUND(Cp_Database_200!$F60 + Cp_Database_200!$G60*0.8 + Cp_Database_200!$H60*0.64 + Cp_Database_200!$I60*0.512 + Cp_Database_200!$J60/0.64, 2), "-")</f>
        <v>279.74</v>
      </c>
      <c r="M60" s="15">
        <f>IF(AND(1000&gt;=$E60, 1000&lt;=$F60), ROUND(Cp_Database_200!$F60 + Cp_Database_200!$G60*1 + Cp_Database_200!$H60*1 + Cp_Database_200!$I60*1 + Cp_Database_200!$J60/1, 2), "-")</f>
        <v>294.58</v>
      </c>
      <c r="N60" s="15">
        <f>IF(AND(1200&gt;=$E60, 1200&lt;=$F60), ROUND(Cp_Database_200!$F60 + Cp_Database_200!$G60*1.2 + Cp_Database_200!$H60*1.44 + Cp_Database_200!$I60*1.728 + Cp_Database_200!$J60/1.44, 2), "-")</f>
        <v>309.32</v>
      </c>
      <c r="O60" s="15">
        <f>IF(AND(1500&gt;=$E60, 1500&lt;=$F60), ROUND(Cp_Database_200!$F60 + Cp_Database_200!$G60*1.5 + Cp_Database_200!$H60*2.25 + Cp_Database_200!$I60*3.375 + Cp_Database_200!$J60/2.25, 2), "-")</f>
        <v>332.07</v>
      </c>
      <c r="P60" s="15">
        <f>IF(AND(2000&gt;=$E60, 2000&lt;=$F60), ROUND(Cp_Database_200!$F60 + Cp_Database_200!$G60*2 + Cp_Database_200!$H60*4 + Cp_Database_200!$I60*8 + Cp_Database_200!$J60/4, 2), "-")</f>
        <v>371.64</v>
      </c>
    </row>
    <row r="61" spans="1:16" ht="15" x14ac:dyDescent="0.3">
      <c r="A61" s="8">
        <f>Cp_Database_200!A61</f>
        <v>60</v>
      </c>
      <c r="B61" s="9" t="str">
        <f>Cp_Database_200!B61</f>
        <v>Niobium Carbide</v>
      </c>
      <c r="C61" s="10" t="str">
        <f>Cp_Database_200!C61</f>
        <v>NbC</v>
      </c>
      <c r="D61" s="9" t="str">
        <f>Cp_Database_200!E61</f>
        <v>Ceramic (Carbide)</v>
      </c>
      <c r="E61" s="12">
        <f>Cp_Database_200!K61</f>
        <v>298</v>
      </c>
      <c r="F61" s="12">
        <f>Cp_Database_200!L61</f>
        <v>4273</v>
      </c>
      <c r="G61" s="16">
        <f>IF(AND(298.15&gt;=$E61, 298.15&lt;=$F61), ROUND(Cp_Database_200!$F61 + Cp_Database_200!$G61*0.29815 + Cp_Database_200!$H61*0.08889342 + Cp_Database_200!$I61*0.02650357 + Cp_Database_200!$J61/0.08889342, 2), "-")</f>
        <v>36.72</v>
      </c>
      <c r="H61" s="16">
        <f>IF(AND(400&gt;=$E61, 400&lt;=$F61), ROUND(Cp_Database_200!$F61 + Cp_Database_200!$G61*0.4 + Cp_Database_200!$H61*0.16 + Cp_Database_200!$I61*0.064 + Cp_Database_200!$J61/0.16, 2), "-")</f>
        <v>41.88</v>
      </c>
      <c r="I61" s="16">
        <f>IF(AND(500&gt;=$E61, 500&lt;=$F61), ROUND(Cp_Database_200!$F61 + Cp_Database_200!$G61*0.5 + Cp_Database_200!$H61*0.25 + Cp_Database_200!$I61*0.125 + Cp_Database_200!$J61/0.25, 2), "-")</f>
        <v>44.61</v>
      </c>
      <c r="J61" s="16">
        <f>IF(AND(600&gt;=$E61, 600&lt;=$F61), ROUND(Cp_Database_200!$F61 + Cp_Database_200!$G61*0.6 + Cp_Database_200!$H61*0.36 + Cp_Database_200!$I61*0.216 + Cp_Database_200!$J61/0.36, 2), "-")</f>
        <v>46.43</v>
      </c>
      <c r="K61" s="16">
        <f>IF(AND(700&gt;=$E61, 700&lt;=$F61), ROUND(Cp_Database_200!$F61 + Cp_Database_200!$G61*0.7 + Cp_Database_200!$H61*0.49 + Cp_Database_200!$I61*0.343 + Cp_Database_200!$J61/0.49, 2), "-")</f>
        <v>47.84</v>
      </c>
      <c r="L61" s="16">
        <f>IF(AND(800&gt;=$E61, 800&lt;=$F61), ROUND(Cp_Database_200!$F61 + Cp_Database_200!$G61*0.8 + Cp_Database_200!$H61*0.64 + Cp_Database_200!$I61*0.512 + Cp_Database_200!$J61/0.64, 2), "-")</f>
        <v>49.01</v>
      </c>
      <c r="M61" s="16">
        <f>IF(AND(1000&gt;=$E61, 1000&lt;=$F61), ROUND(Cp_Database_200!$F61 + Cp_Database_200!$G61*1 + Cp_Database_200!$H61*1 + Cp_Database_200!$I61*1 + Cp_Database_200!$J61/1, 2), "-")</f>
        <v>51.01</v>
      </c>
      <c r="N61" s="16">
        <f>IF(AND(1200&gt;=$E61, 1200&lt;=$F61), ROUND(Cp_Database_200!$F61 + Cp_Database_200!$G61*1.2 + Cp_Database_200!$H61*1.44 + Cp_Database_200!$I61*1.728 + Cp_Database_200!$J61/1.44, 2), "-")</f>
        <v>52.78</v>
      </c>
      <c r="O61" s="16">
        <f>IF(AND(1500&gt;=$E61, 1500&lt;=$F61), ROUND(Cp_Database_200!$F61 + Cp_Database_200!$G61*1.5 + Cp_Database_200!$H61*2.25 + Cp_Database_200!$I61*3.375 + Cp_Database_200!$J61/2.25, 2), "-")</f>
        <v>55.24</v>
      </c>
      <c r="P61" s="16">
        <f>IF(AND(2000&gt;=$E61, 2000&lt;=$F61), ROUND(Cp_Database_200!$F61 + Cp_Database_200!$G61*2 + Cp_Database_200!$H61*4 + Cp_Database_200!$I61*8 + Cp_Database_200!$J61/4, 2), "-")</f>
        <v>59.14</v>
      </c>
    </row>
    <row r="62" spans="1:16" ht="15" x14ac:dyDescent="0.3">
      <c r="A62" s="2">
        <f>Cp_Database_200!A62</f>
        <v>61</v>
      </c>
      <c r="B62" s="3" t="str">
        <f>Cp_Database_200!B62</f>
        <v>Aluminium Nitride</v>
      </c>
      <c r="C62" s="4" t="str">
        <f>Cp_Database_200!C62</f>
        <v>AlN</v>
      </c>
      <c r="D62" s="3" t="str">
        <f>Cp_Database_200!E62</f>
        <v>Ceramic (Nitride)</v>
      </c>
      <c r="E62" s="6">
        <f>Cp_Database_200!K62</f>
        <v>298</v>
      </c>
      <c r="F62" s="6">
        <f>Cp_Database_200!L62</f>
        <v>900</v>
      </c>
      <c r="G62" s="15">
        <f>IF(AND(298.15&gt;=$E62, 298.15&lt;=$F62), ROUND(Cp_Database_200!$F62 + Cp_Database_200!$G62*0.29815 + Cp_Database_200!$H62*0.08889342 + Cp_Database_200!$I62*0.02650357 + Cp_Database_200!$J62/0.08889342, 2), "-")</f>
        <v>30.1</v>
      </c>
      <c r="H62" s="15">
        <f>IF(AND(400&gt;=$E62, 400&lt;=$F62), ROUND(Cp_Database_200!$F62 + Cp_Database_200!$G62*0.4 + Cp_Database_200!$H62*0.16 + Cp_Database_200!$I62*0.064 + Cp_Database_200!$J62/0.16, 2), "-")</f>
        <v>36.700000000000003</v>
      </c>
      <c r="I62" s="15">
        <f>IF(AND(500&gt;=$E62, 500&lt;=$F62), ROUND(Cp_Database_200!$F62 + Cp_Database_200!$G62*0.5 + Cp_Database_200!$H62*0.25 + Cp_Database_200!$I62*0.125 + Cp_Database_200!$J62/0.25, 2), "-")</f>
        <v>40.79</v>
      </c>
      <c r="J62" s="15">
        <f>IF(AND(600&gt;=$E62, 600&lt;=$F62), ROUND(Cp_Database_200!$F62 + Cp_Database_200!$G62*0.6 + Cp_Database_200!$H62*0.36 + Cp_Database_200!$I62*0.216 + Cp_Database_200!$J62/0.36, 2), "-")</f>
        <v>43.54</v>
      </c>
      <c r="K62" s="15">
        <f>IF(AND(700&gt;=$E62, 700&lt;=$F62), ROUND(Cp_Database_200!$F62 + Cp_Database_200!$G62*0.7 + Cp_Database_200!$H62*0.49 + Cp_Database_200!$I62*0.343 + Cp_Database_200!$J62/0.49, 2), "-")</f>
        <v>45.44</v>
      </c>
      <c r="L62" s="15">
        <f>IF(AND(800&gt;=$E62, 800&lt;=$F62), ROUND(Cp_Database_200!$F62 + Cp_Database_200!$G62*0.8 + Cp_Database_200!$H62*0.64 + Cp_Database_200!$I62*0.512 + Cp_Database_200!$J62/0.64, 2), "-")</f>
        <v>46.78</v>
      </c>
      <c r="M62" s="15" t="str">
        <f>IF(AND(1000&gt;=$E62, 1000&lt;=$F62), ROUND(Cp_Database_200!$F62 + Cp_Database_200!$G62*1 + Cp_Database_200!$H62*1 + Cp_Database_200!$I62*1 + Cp_Database_200!$J62/1, 2), "-")</f>
        <v>-</v>
      </c>
      <c r="N62" s="15" t="str">
        <f>IF(AND(1200&gt;=$E62, 1200&lt;=$F62), ROUND(Cp_Database_200!$F62 + Cp_Database_200!$G62*1.2 + Cp_Database_200!$H62*1.44 + Cp_Database_200!$I62*1.728 + Cp_Database_200!$J62/1.44, 2), "-")</f>
        <v>-</v>
      </c>
      <c r="O62" s="15" t="str">
        <f>IF(AND(1500&gt;=$E62, 1500&lt;=$F62), ROUND(Cp_Database_200!$F62 + Cp_Database_200!$G62*1.5 + Cp_Database_200!$H62*2.25 + Cp_Database_200!$I62*3.375 + Cp_Database_200!$J62/2.25, 2), "-")</f>
        <v>-</v>
      </c>
      <c r="P62" s="15" t="str">
        <f>IF(AND(2000&gt;=$E62, 2000&lt;=$F62), ROUND(Cp_Database_200!$F62 + Cp_Database_200!$G62*2 + Cp_Database_200!$H62*4 + Cp_Database_200!$I62*8 + Cp_Database_200!$J62/4, 2), "-")</f>
        <v>-</v>
      </c>
    </row>
    <row r="63" spans="1:16" ht="15" x14ac:dyDescent="0.3">
      <c r="A63" s="8">
        <f>Cp_Database_200!A63</f>
        <v>62</v>
      </c>
      <c r="B63" s="9" t="str">
        <f>Cp_Database_200!B63</f>
        <v>Titanium Nitride</v>
      </c>
      <c r="C63" s="10" t="str">
        <f>Cp_Database_200!C63</f>
        <v>TiN</v>
      </c>
      <c r="D63" s="9" t="str">
        <f>Cp_Database_200!E63</f>
        <v>Ceramic (Nitride)</v>
      </c>
      <c r="E63" s="12">
        <f>Cp_Database_200!K63</f>
        <v>298</v>
      </c>
      <c r="F63" s="12">
        <f>Cp_Database_200!L63</f>
        <v>3220</v>
      </c>
      <c r="G63" s="16">
        <f>IF(AND(298.15&gt;=$E63, 298.15&lt;=$F63), ROUND(Cp_Database_200!$F63 + Cp_Database_200!$G63*0.29815 + Cp_Database_200!$H63*0.08889342 + Cp_Database_200!$I63*0.02650357 + Cp_Database_200!$J63/0.08889342, 2), "-")</f>
        <v>37.229999999999997</v>
      </c>
      <c r="H63" s="16">
        <f>IF(AND(400&gt;=$E63, 400&lt;=$F63), ROUND(Cp_Database_200!$F63 + Cp_Database_200!$G63*0.4 + Cp_Database_200!$H63*0.16 + Cp_Database_200!$I63*0.064 + Cp_Database_200!$J63/0.16, 2), "-")</f>
        <v>43.54</v>
      </c>
      <c r="I63" s="16">
        <f>IF(AND(500&gt;=$E63, 500&lt;=$F63), ROUND(Cp_Database_200!$F63 + Cp_Database_200!$G63*0.5 + Cp_Database_200!$H63*0.25 + Cp_Database_200!$I63*0.125 + Cp_Database_200!$J63/0.25, 2), "-")</f>
        <v>46.56</v>
      </c>
      <c r="J63" s="16">
        <f>IF(AND(600&gt;=$E63, 600&lt;=$F63), ROUND(Cp_Database_200!$F63 + Cp_Database_200!$G63*0.6 + Cp_Database_200!$H63*0.36 + Cp_Database_200!$I63*0.216 + Cp_Database_200!$J63/0.36, 2), "-")</f>
        <v>48.4</v>
      </c>
      <c r="K63" s="16">
        <f>IF(AND(700&gt;=$E63, 700&lt;=$F63), ROUND(Cp_Database_200!$F63 + Cp_Database_200!$G63*0.7 + Cp_Database_200!$H63*0.49 + Cp_Database_200!$I63*0.343 + Cp_Database_200!$J63/0.49, 2), "-")</f>
        <v>49.69</v>
      </c>
      <c r="L63" s="16">
        <f>IF(AND(800&gt;=$E63, 800&lt;=$F63), ROUND(Cp_Database_200!$F63 + Cp_Database_200!$G63*0.8 + Cp_Database_200!$H63*0.64 + Cp_Database_200!$I63*0.512 + Cp_Database_200!$J63/0.64, 2), "-")</f>
        <v>50.72</v>
      </c>
      <c r="M63" s="16">
        <f>IF(AND(1000&gt;=$E63, 1000&lt;=$F63), ROUND(Cp_Database_200!$F63 + Cp_Database_200!$G63*1 + Cp_Database_200!$H63*1 + Cp_Database_200!$I63*1 + Cp_Database_200!$J63/1, 2), "-")</f>
        <v>52.43</v>
      </c>
      <c r="N63" s="16">
        <f>IF(AND(1200&gt;=$E63, 1200&lt;=$F63), ROUND(Cp_Database_200!$F63 + Cp_Database_200!$G63*1.2 + Cp_Database_200!$H63*1.44 + Cp_Database_200!$I63*1.728 + Cp_Database_200!$J63/1.44, 2), "-")</f>
        <v>54</v>
      </c>
      <c r="O63" s="16">
        <f>IF(AND(1500&gt;=$E63, 1500&lt;=$F63), ROUND(Cp_Database_200!$F63 + Cp_Database_200!$G63*1.5 + Cp_Database_200!$H63*2.25 + Cp_Database_200!$I63*3.375 + Cp_Database_200!$J63/2.25, 2), "-")</f>
        <v>56.36</v>
      </c>
      <c r="P63" s="16">
        <f>IF(AND(2000&gt;=$E63, 2000&lt;=$F63), ROUND(Cp_Database_200!$F63 + Cp_Database_200!$G63*2 + Cp_Database_200!$H63*4 + Cp_Database_200!$I63*8 + Cp_Database_200!$J63/4, 2), "-")</f>
        <v>60.64</v>
      </c>
    </row>
    <row r="64" spans="1:16" ht="15" x14ac:dyDescent="0.3">
      <c r="A64" s="2">
        <f>Cp_Database_200!A64</f>
        <v>63</v>
      </c>
      <c r="B64" s="3" t="str">
        <f>Cp_Database_200!B64</f>
        <v>Boron Nitride</v>
      </c>
      <c r="C64" s="4" t="str">
        <f>Cp_Database_200!C64</f>
        <v>BN</v>
      </c>
      <c r="D64" s="3" t="str">
        <f>Cp_Database_200!E64</f>
        <v>Ceramic (Nitride)</v>
      </c>
      <c r="E64" s="6">
        <f>Cp_Database_200!K64</f>
        <v>298</v>
      </c>
      <c r="F64" s="6">
        <f>Cp_Database_200!L64</f>
        <v>1100</v>
      </c>
      <c r="G64" s="15">
        <f>IF(AND(298.15&gt;=$E64, 298.15&lt;=$F64), ROUND(Cp_Database_200!$F64 + Cp_Database_200!$G64*0.29815 + Cp_Database_200!$H64*0.08889342 + Cp_Database_200!$I64*0.02650357 + Cp_Database_200!$J64/0.08889342, 2), "-")</f>
        <v>19.7</v>
      </c>
      <c r="H64" s="15">
        <f>IF(AND(400&gt;=$E64, 400&lt;=$F64), ROUND(Cp_Database_200!$F64 + Cp_Database_200!$G64*0.4 + Cp_Database_200!$H64*0.16 + Cp_Database_200!$I64*0.064 + Cp_Database_200!$J64/0.16, 2), "-")</f>
        <v>26.37</v>
      </c>
      <c r="I64" s="15">
        <f>IF(AND(500&gt;=$E64, 500&lt;=$F64), ROUND(Cp_Database_200!$F64 + Cp_Database_200!$G64*0.5 + Cp_Database_200!$H64*0.25 + Cp_Database_200!$I64*0.125 + Cp_Database_200!$J64/0.25, 2), "-")</f>
        <v>31.3</v>
      </c>
      <c r="J64" s="15">
        <f>IF(AND(600&gt;=$E64, 600&lt;=$F64), ROUND(Cp_Database_200!$F64 + Cp_Database_200!$G64*0.6 + Cp_Database_200!$H64*0.36 + Cp_Database_200!$I64*0.216 + Cp_Database_200!$J64/0.36, 2), "-")</f>
        <v>35.130000000000003</v>
      </c>
      <c r="K64" s="15">
        <f>IF(AND(700&gt;=$E64, 700&lt;=$F64), ROUND(Cp_Database_200!$F64 + Cp_Database_200!$G64*0.7 + Cp_Database_200!$H64*0.49 + Cp_Database_200!$I64*0.343 + Cp_Database_200!$J64/0.49, 2), "-")</f>
        <v>38.159999999999997</v>
      </c>
      <c r="L64" s="15">
        <f>IF(AND(800&gt;=$E64, 800&lt;=$F64), ROUND(Cp_Database_200!$F64 + Cp_Database_200!$G64*0.8 + Cp_Database_200!$H64*0.64 + Cp_Database_200!$I64*0.512 + Cp_Database_200!$J64/0.64, 2), "-")</f>
        <v>40.57</v>
      </c>
      <c r="M64" s="15">
        <f>IF(AND(1000&gt;=$E64, 1000&lt;=$F64), ROUND(Cp_Database_200!$F64 + Cp_Database_200!$G64*1 + Cp_Database_200!$H64*1 + Cp_Database_200!$I64*1 + Cp_Database_200!$J64/1, 2), "-")</f>
        <v>44.26</v>
      </c>
      <c r="N64" s="15" t="str">
        <f>IF(AND(1200&gt;=$E64, 1200&lt;=$F64), ROUND(Cp_Database_200!$F64 + Cp_Database_200!$G64*1.2 + Cp_Database_200!$H64*1.44 + Cp_Database_200!$I64*1.728 + Cp_Database_200!$J64/1.44, 2), "-")</f>
        <v>-</v>
      </c>
      <c r="O64" s="15" t="str">
        <f>IF(AND(1500&gt;=$E64, 1500&lt;=$F64), ROUND(Cp_Database_200!$F64 + Cp_Database_200!$G64*1.5 + Cp_Database_200!$H64*2.25 + Cp_Database_200!$I64*3.375 + Cp_Database_200!$J64/2.25, 2), "-")</f>
        <v>-</v>
      </c>
      <c r="P64" s="15" t="str">
        <f>IF(AND(2000&gt;=$E64, 2000&lt;=$F64), ROUND(Cp_Database_200!$F64 + Cp_Database_200!$G64*2 + Cp_Database_200!$H64*4 + Cp_Database_200!$I64*8 + Cp_Database_200!$J64/4, 2), "-")</f>
        <v>-</v>
      </c>
    </row>
    <row r="65" spans="1:16" ht="15" x14ac:dyDescent="0.3">
      <c r="A65" s="8">
        <f>Cp_Database_200!A65</f>
        <v>64</v>
      </c>
      <c r="B65" s="9" t="str">
        <f>Cp_Database_200!B65</f>
        <v>Silicon Nitride</v>
      </c>
      <c r="C65" s="10" t="str">
        <f>Cp_Database_200!C65</f>
        <v>Si3N4</v>
      </c>
      <c r="D65" s="9" t="str">
        <f>Cp_Database_200!E65</f>
        <v>Ceramic (Nitride)</v>
      </c>
      <c r="E65" s="12">
        <f>Cp_Database_200!K65</f>
        <v>298</v>
      </c>
      <c r="F65" s="12">
        <f>Cp_Database_200!L65</f>
        <v>3000</v>
      </c>
      <c r="G65" s="16">
        <f>IF(AND(298.15&gt;=$E65, 298.15&lt;=$F65), ROUND(Cp_Database_200!$F65 + Cp_Database_200!$G65*0.29815 + Cp_Database_200!$H65*0.08889342 + Cp_Database_200!$I65*0.02650357 + Cp_Database_200!$J65/0.08889342, 2), "-")</f>
        <v>99.63</v>
      </c>
      <c r="H65" s="16">
        <f>IF(AND(400&gt;=$E65, 400&lt;=$F65), ROUND(Cp_Database_200!$F65 + Cp_Database_200!$G65*0.4 + Cp_Database_200!$H65*0.16 + Cp_Database_200!$I65*0.064 + Cp_Database_200!$J65/0.16, 2), "-")</f>
        <v>110.42</v>
      </c>
      <c r="I65" s="16">
        <f>IF(AND(500&gt;=$E65, 500&lt;=$F65), ROUND(Cp_Database_200!$F65 + Cp_Database_200!$G65*0.5 + Cp_Database_200!$H65*0.25 + Cp_Database_200!$I65*0.125 + Cp_Database_200!$J65/0.25, 2), "-")</f>
        <v>120.51</v>
      </c>
      <c r="J65" s="16">
        <f>IF(AND(600&gt;=$E65, 600&lt;=$F65), ROUND(Cp_Database_200!$F65 + Cp_Database_200!$G65*0.6 + Cp_Database_200!$H65*0.36 + Cp_Database_200!$I65*0.216 + Cp_Database_200!$J65/0.36, 2), "-")</f>
        <v>129.81</v>
      </c>
      <c r="K65" s="16">
        <f>IF(AND(700&gt;=$E65, 700&lt;=$F65), ROUND(Cp_Database_200!$F65 + Cp_Database_200!$G65*0.7 + Cp_Database_200!$H65*0.49 + Cp_Database_200!$I65*0.343 + Cp_Database_200!$J65/0.49, 2), "-")</f>
        <v>138.24</v>
      </c>
      <c r="L65" s="16">
        <f>IF(AND(800&gt;=$E65, 800&lt;=$F65), ROUND(Cp_Database_200!$F65 + Cp_Database_200!$G65*0.8 + Cp_Database_200!$H65*0.64 + Cp_Database_200!$I65*0.512 + Cp_Database_200!$J65/0.64, 2), "-")</f>
        <v>145.82</v>
      </c>
      <c r="M65" s="16">
        <f>IF(AND(1000&gt;=$E65, 1000&lt;=$F65), ROUND(Cp_Database_200!$F65 + Cp_Database_200!$G65*1 + Cp_Database_200!$H65*1 + Cp_Database_200!$I65*1 + Cp_Database_200!$J65/1, 2), "-")</f>
        <v>158.55000000000001</v>
      </c>
      <c r="N65" s="16">
        <f>IF(AND(1200&gt;=$E65, 1200&lt;=$F65), ROUND(Cp_Database_200!$F65 + Cp_Database_200!$G65*1.2 + Cp_Database_200!$H65*1.44 + Cp_Database_200!$I65*1.728 + Cp_Database_200!$J65/1.44, 2), "-")</f>
        <v>168.3</v>
      </c>
      <c r="O65" s="16">
        <f>IF(AND(1500&gt;=$E65, 1500&lt;=$F65), ROUND(Cp_Database_200!$F65 + Cp_Database_200!$G65*1.5 + Cp_Database_200!$H65*2.25 + Cp_Database_200!$I65*3.375 + Cp_Database_200!$J65/2.25, 2), "-")</f>
        <v>178.21</v>
      </c>
      <c r="P65" s="16">
        <f>IF(AND(2000&gt;=$E65, 2000&lt;=$F65), ROUND(Cp_Database_200!$F65 + Cp_Database_200!$G65*2 + Cp_Database_200!$H65*4 + Cp_Database_200!$I65*8 + Cp_Database_200!$J65/4, 2), "-")</f>
        <v>185.52</v>
      </c>
    </row>
    <row r="66" spans="1:16" ht="15" x14ac:dyDescent="0.3">
      <c r="A66" s="2">
        <f>Cp_Database_200!A66</f>
        <v>65</v>
      </c>
      <c r="B66" s="3" t="str">
        <f>Cp_Database_200!B66</f>
        <v>Zirconium Nitride</v>
      </c>
      <c r="C66" s="4" t="str">
        <f>Cp_Database_200!C66</f>
        <v>ZrN</v>
      </c>
      <c r="D66" s="3" t="str">
        <f>Cp_Database_200!E66</f>
        <v>Ceramic (Nitride)</v>
      </c>
      <c r="E66" s="6">
        <f>Cp_Database_200!K66</f>
        <v>298</v>
      </c>
      <c r="F66" s="6">
        <f>Cp_Database_200!L66</f>
        <v>3225</v>
      </c>
      <c r="G66" s="15">
        <f>IF(AND(298.15&gt;=$E66, 298.15&lt;=$F66), ROUND(Cp_Database_200!$F66 + Cp_Database_200!$G66*0.29815 + Cp_Database_200!$H66*0.08889342 + Cp_Database_200!$I66*0.02650357 + Cp_Database_200!$J66/0.08889342, 2), "-")</f>
        <v>40.44</v>
      </c>
      <c r="H66" s="15">
        <f>IF(AND(400&gt;=$E66, 400&lt;=$F66), ROUND(Cp_Database_200!$F66 + Cp_Database_200!$G66*0.4 + Cp_Database_200!$H66*0.16 + Cp_Database_200!$I66*0.064 + Cp_Database_200!$J66/0.16, 2), "-")</f>
        <v>44.76</v>
      </c>
      <c r="I66" s="15">
        <f>IF(AND(500&gt;=$E66, 500&lt;=$F66), ROUND(Cp_Database_200!$F66 + Cp_Database_200!$G66*0.5 + Cp_Database_200!$H66*0.25 + Cp_Database_200!$I66*0.125 + Cp_Database_200!$J66/0.25, 2), "-")</f>
        <v>47.08</v>
      </c>
      <c r="J66" s="15">
        <f>IF(AND(600&gt;=$E66, 600&lt;=$F66), ROUND(Cp_Database_200!$F66 + Cp_Database_200!$G66*0.6 + Cp_Database_200!$H66*0.36 + Cp_Database_200!$I66*0.216 + Cp_Database_200!$J66/0.36, 2), "-")</f>
        <v>48.66</v>
      </c>
      <c r="K66" s="15">
        <f>IF(AND(700&gt;=$E66, 700&lt;=$F66), ROUND(Cp_Database_200!$F66 + Cp_Database_200!$G66*0.7 + Cp_Database_200!$H66*0.49 + Cp_Database_200!$I66*0.343 + Cp_Database_200!$J66/0.49, 2), "-")</f>
        <v>49.9</v>
      </c>
      <c r="L66" s="15">
        <f>IF(AND(800&gt;=$E66, 800&lt;=$F66), ROUND(Cp_Database_200!$F66 + Cp_Database_200!$G66*0.8 + Cp_Database_200!$H66*0.64 + Cp_Database_200!$I66*0.512 + Cp_Database_200!$J66/0.64, 2), "-")</f>
        <v>50.94</v>
      </c>
      <c r="M66" s="15">
        <f>IF(AND(1000&gt;=$E66, 1000&lt;=$F66), ROUND(Cp_Database_200!$F66 + Cp_Database_200!$G66*1 + Cp_Database_200!$H66*1 + Cp_Database_200!$I66*1 + Cp_Database_200!$J66/1, 2), "-")</f>
        <v>52.75</v>
      </c>
      <c r="N66" s="15">
        <f>IF(AND(1200&gt;=$E66, 1200&lt;=$F66), ROUND(Cp_Database_200!$F66 + Cp_Database_200!$G66*1.2 + Cp_Database_200!$H66*1.44 + Cp_Database_200!$I66*1.728 + Cp_Database_200!$J66/1.44, 2), "-")</f>
        <v>54.38</v>
      </c>
      <c r="O66" s="15">
        <f>IF(AND(1500&gt;=$E66, 1500&lt;=$F66), ROUND(Cp_Database_200!$F66 + Cp_Database_200!$G66*1.5 + Cp_Database_200!$H66*2.25 + Cp_Database_200!$I66*3.375 + Cp_Database_200!$J66/2.25, 2), "-")</f>
        <v>56.66</v>
      </c>
      <c r="P66" s="15">
        <f>IF(AND(2000&gt;=$E66, 2000&lt;=$F66), ROUND(Cp_Database_200!$F66 + Cp_Database_200!$G66*2 + Cp_Database_200!$H66*4 + Cp_Database_200!$I66*8 + Cp_Database_200!$J66/4, 2), "-")</f>
        <v>60.32</v>
      </c>
    </row>
    <row r="67" spans="1:16" ht="15" x14ac:dyDescent="0.3">
      <c r="A67" s="8">
        <f>Cp_Database_200!A67</f>
        <v>66</v>
      </c>
      <c r="B67" s="9" t="str">
        <f>Cp_Database_200!B67</f>
        <v>Dichromium Nitride</v>
      </c>
      <c r="C67" s="10" t="str">
        <f>Cp_Database_200!C67</f>
        <v>Cr2N</v>
      </c>
      <c r="D67" s="9" t="str">
        <f>Cp_Database_200!E67</f>
        <v>Ceramic (Nitride)</v>
      </c>
      <c r="E67" s="12">
        <f>Cp_Database_200!K67</f>
        <v>298</v>
      </c>
      <c r="F67" s="12">
        <f>Cp_Database_200!L67</f>
        <v>2500</v>
      </c>
      <c r="G67" s="16">
        <f>IF(AND(298.15&gt;=$E67, 298.15&lt;=$F67), ROUND(Cp_Database_200!$F67 + Cp_Database_200!$G67*0.29815 + Cp_Database_200!$H67*0.08889342 + Cp_Database_200!$I67*0.02650357 + Cp_Database_200!$J67/0.08889342, 2), "-")</f>
        <v>66.2</v>
      </c>
      <c r="H67" s="16">
        <f>IF(AND(400&gt;=$E67, 400&lt;=$F67), ROUND(Cp_Database_200!$F67 + Cp_Database_200!$G67*0.4 + Cp_Database_200!$H67*0.16 + Cp_Database_200!$I67*0.064 + Cp_Database_200!$J67/0.16, 2), "-")</f>
        <v>72.69</v>
      </c>
      <c r="I67" s="16">
        <f>IF(AND(500&gt;=$E67, 500&lt;=$F67), ROUND(Cp_Database_200!$F67 + Cp_Database_200!$G67*0.5 + Cp_Database_200!$H67*0.25 + Cp_Database_200!$I67*0.125 + Cp_Database_200!$J67/0.25, 2), "-")</f>
        <v>76.64</v>
      </c>
      <c r="J67" s="16">
        <f>IF(AND(600&gt;=$E67, 600&lt;=$F67), ROUND(Cp_Database_200!$F67 + Cp_Database_200!$G67*0.6 + Cp_Database_200!$H67*0.36 + Cp_Database_200!$I67*0.216 + Cp_Database_200!$J67/0.36, 2), "-")</f>
        <v>79.77</v>
      </c>
      <c r="K67" s="16">
        <f>IF(AND(700&gt;=$E67, 700&lt;=$F67), ROUND(Cp_Database_200!$F67 + Cp_Database_200!$G67*0.7 + Cp_Database_200!$H67*0.49 + Cp_Database_200!$I67*0.343 + Cp_Database_200!$J67/0.49, 2), "-")</f>
        <v>82.56</v>
      </c>
      <c r="L67" s="16">
        <f>IF(AND(800&gt;=$E67, 800&lt;=$F67), ROUND(Cp_Database_200!$F67 + Cp_Database_200!$G67*0.8 + Cp_Database_200!$H67*0.64 + Cp_Database_200!$I67*0.512 + Cp_Database_200!$J67/0.64, 2), "-")</f>
        <v>85.23</v>
      </c>
      <c r="M67" s="16">
        <f>IF(AND(1000&gt;=$E67, 1000&lt;=$F67), ROUND(Cp_Database_200!$F67 + Cp_Database_200!$G67*1 + Cp_Database_200!$H67*1 + Cp_Database_200!$I67*1 + Cp_Database_200!$J67/1, 2), "-")</f>
        <v>90.52</v>
      </c>
      <c r="N67" s="16">
        <f>IF(AND(1200&gt;=$E67, 1200&lt;=$F67), ROUND(Cp_Database_200!$F67 + Cp_Database_200!$G67*1.2 + Cp_Database_200!$H67*1.44 + Cp_Database_200!$I67*1.728 + Cp_Database_200!$J67/1.44, 2), "-")</f>
        <v>95.89</v>
      </c>
      <c r="O67" s="16">
        <f>IF(AND(1500&gt;=$E67, 1500&lt;=$F67), ROUND(Cp_Database_200!$F67 + Cp_Database_200!$G67*1.5 + Cp_Database_200!$H67*2.25 + Cp_Database_200!$I67*3.375 + Cp_Database_200!$J67/2.25, 2), "-")</f>
        <v>104.13</v>
      </c>
      <c r="P67" s="16">
        <f>IF(AND(2000&gt;=$E67, 2000&lt;=$F67), ROUND(Cp_Database_200!$F67 + Cp_Database_200!$G67*2 + Cp_Database_200!$H67*4 + Cp_Database_200!$I67*8 + Cp_Database_200!$J67/4, 2), "-")</f>
        <v>117.64</v>
      </c>
    </row>
    <row r="68" spans="1:16" ht="15" x14ac:dyDescent="0.3">
      <c r="A68" s="2">
        <f>Cp_Database_200!A68</f>
        <v>67</v>
      </c>
      <c r="B68" s="3" t="str">
        <f>Cp_Database_200!B68</f>
        <v>Magnesium Nitride</v>
      </c>
      <c r="C68" s="4" t="str">
        <f>Cp_Database_200!C68</f>
        <v>Mg3N2</v>
      </c>
      <c r="D68" s="3" t="str">
        <f>Cp_Database_200!E68</f>
        <v>Ceramic (Nitride)</v>
      </c>
      <c r="E68" s="6">
        <f>Cp_Database_200!K68</f>
        <v>298</v>
      </c>
      <c r="F68" s="6">
        <f>Cp_Database_200!L68</f>
        <v>823</v>
      </c>
      <c r="G68" s="15">
        <f>IF(AND(298.15&gt;=$E68, 298.15&lt;=$F68), ROUND(Cp_Database_200!$F68 + Cp_Database_200!$G68*0.29815 + Cp_Database_200!$H68*0.08889342 + Cp_Database_200!$I68*0.02650357 + Cp_Database_200!$J68/0.08889342, 2), "-")</f>
        <v>104.53</v>
      </c>
      <c r="H68" s="15">
        <f>IF(AND(400&gt;=$E68, 400&lt;=$F68), ROUND(Cp_Database_200!$F68 + Cp_Database_200!$G68*0.4 + Cp_Database_200!$H68*0.16 + Cp_Database_200!$I68*0.064 + Cp_Database_200!$J68/0.16, 2), "-")</f>
        <v>107.66</v>
      </c>
      <c r="I68" s="15">
        <f>IF(AND(500&gt;=$E68, 500&lt;=$F68), ROUND(Cp_Database_200!$F68 + Cp_Database_200!$G68*0.5 + Cp_Database_200!$H68*0.25 + Cp_Database_200!$I68*0.125 + Cp_Database_200!$J68/0.25, 2), "-")</f>
        <v>110.71</v>
      </c>
      <c r="J68" s="15">
        <f>IF(AND(600&gt;=$E68, 600&lt;=$F68), ROUND(Cp_Database_200!$F68 + Cp_Database_200!$G68*0.6 + Cp_Database_200!$H68*0.36 + Cp_Database_200!$I68*0.216 + Cp_Database_200!$J68/0.36, 2), "-")</f>
        <v>113.76</v>
      </c>
      <c r="K68" s="15">
        <f>IF(AND(700&gt;=$E68, 700&lt;=$F68), ROUND(Cp_Database_200!$F68 + Cp_Database_200!$G68*0.7 + Cp_Database_200!$H68*0.49 + Cp_Database_200!$I68*0.343 + Cp_Database_200!$J68/0.49, 2), "-")</f>
        <v>116.82</v>
      </c>
      <c r="L68" s="15">
        <f>IF(AND(800&gt;=$E68, 800&lt;=$F68), ROUND(Cp_Database_200!$F68 + Cp_Database_200!$G68*0.8 + Cp_Database_200!$H68*0.64 + Cp_Database_200!$I68*0.512 + Cp_Database_200!$J68/0.64, 2), "-")</f>
        <v>119.87</v>
      </c>
      <c r="M68" s="15" t="str">
        <f>IF(AND(1000&gt;=$E68, 1000&lt;=$F68), ROUND(Cp_Database_200!$F68 + Cp_Database_200!$G68*1 + Cp_Database_200!$H68*1 + Cp_Database_200!$I68*1 + Cp_Database_200!$J68/1, 2), "-")</f>
        <v>-</v>
      </c>
      <c r="N68" s="15" t="str">
        <f>IF(AND(1200&gt;=$E68, 1200&lt;=$F68), ROUND(Cp_Database_200!$F68 + Cp_Database_200!$G68*1.2 + Cp_Database_200!$H68*1.44 + Cp_Database_200!$I68*1.728 + Cp_Database_200!$J68/1.44, 2), "-")</f>
        <v>-</v>
      </c>
      <c r="O68" s="15" t="str">
        <f>IF(AND(1500&gt;=$E68, 1500&lt;=$F68), ROUND(Cp_Database_200!$F68 + Cp_Database_200!$G68*1.5 + Cp_Database_200!$H68*2.25 + Cp_Database_200!$I68*3.375 + Cp_Database_200!$J68/2.25, 2), "-")</f>
        <v>-</v>
      </c>
      <c r="P68" s="15" t="str">
        <f>IF(AND(2000&gt;=$E68, 2000&lt;=$F68), ROUND(Cp_Database_200!$F68 + Cp_Database_200!$G68*2 + Cp_Database_200!$H68*4 + Cp_Database_200!$I68*8 + Cp_Database_200!$J68/4, 2), "-")</f>
        <v>-</v>
      </c>
    </row>
    <row r="69" spans="1:16" ht="15" x14ac:dyDescent="0.3">
      <c r="A69" s="8">
        <f>Cp_Database_200!A69</f>
        <v>68</v>
      </c>
      <c r="B69" s="9" t="str">
        <f>Cp_Database_200!B69</f>
        <v>Titanium Diboride</v>
      </c>
      <c r="C69" s="10" t="str">
        <f>Cp_Database_200!C69</f>
        <v>TiB2</v>
      </c>
      <c r="D69" s="9" t="str">
        <f>Cp_Database_200!E69</f>
        <v>Ceramic (Boride)</v>
      </c>
      <c r="E69" s="12">
        <f>Cp_Database_200!K69</f>
        <v>298</v>
      </c>
      <c r="F69" s="12">
        <f>Cp_Database_200!L69</f>
        <v>3193</v>
      </c>
      <c r="G69" s="16">
        <f>IF(AND(298.15&gt;=$E69, 298.15&lt;=$F69), ROUND(Cp_Database_200!$F69 + Cp_Database_200!$G69*0.29815 + Cp_Database_200!$H69*0.08889342 + Cp_Database_200!$I69*0.02650357 + Cp_Database_200!$J69/0.08889342, 2), "-")</f>
        <v>44.36</v>
      </c>
      <c r="H69" s="16">
        <f>IF(AND(400&gt;=$E69, 400&lt;=$F69), ROUND(Cp_Database_200!$F69 + Cp_Database_200!$G69*0.4 + Cp_Database_200!$H69*0.16 + Cp_Database_200!$I69*0.064 + Cp_Database_200!$J69/0.16, 2), "-")</f>
        <v>54.97</v>
      </c>
      <c r="I69" s="16">
        <f>IF(AND(500&gt;=$E69, 500&lt;=$F69), ROUND(Cp_Database_200!$F69 + Cp_Database_200!$G69*0.5 + Cp_Database_200!$H69*0.25 + Cp_Database_200!$I69*0.125 + Cp_Database_200!$J69/0.25, 2), "-")</f>
        <v>61.14</v>
      </c>
      <c r="J69" s="16">
        <f>IF(AND(600&gt;=$E69, 600&lt;=$F69), ROUND(Cp_Database_200!$F69 + Cp_Database_200!$G69*0.6 + Cp_Database_200!$H69*0.36 + Cp_Database_200!$I69*0.216 + Cp_Database_200!$J69/0.36, 2), "-")</f>
        <v>65.599999999999994</v>
      </c>
      <c r="K69" s="16">
        <f>IF(AND(700&gt;=$E69, 700&lt;=$F69), ROUND(Cp_Database_200!$F69 + Cp_Database_200!$G69*0.7 + Cp_Database_200!$H69*0.49 + Cp_Database_200!$I69*0.343 + Cp_Database_200!$J69/0.49, 2), "-")</f>
        <v>69.17</v>
      </c>
      <c r="L69" s="16">
        <f>IF(AND(800&gt;=$E69, 800&lt;=$F69), ROUND(Cp_Database_200!$F69 + Cp_Database_200!$G69*0.8 + Cp_Database_200!$H69*0.64 + Cp_Database_200!$I69*0.512 + Cp_Database_200!$J69/0.64, 2), "-")</f>
        <v>72.23</v>
      </c>
      <c r="M69" s="16">
        <f>IF(AND(1000&gt;=$E69, 1000&lt;=$F69), ROUND(Cp_Database_200!$F69 + Cp_Database_200!$G69*1 + Cp_Database_200!$H69*1 + Cp_Database_200!$I69*1 + Cp_Database_200!$J69/1, 2), "-")</f>
        <v>77.38</v>
      </c>
      <c r="N69" s="16">
        <f>IF(AND(1200&gt;=$E69, 1200&lt;=$F69), ROUND(Cp_Database_200!$F69 + Cp_Database_200!$G69*1.2 + Cp_Database_200!$H69*1.44 + Cp_Database_200!$I69*1.728 + Cp_Database_200!$J69/1.44, 2), "-")</f>
        <v>81.7</v>
      </c>
      <c r="O69" s="16">
        <f>IF(AND(1500&gt;=$E69, 1500&lt;=$F69), ROUND(Cp_Database_200!$F69 + Cp_Database_200!$G69*1.5 + Cp_Database_200!$H69*2.25 + Cp_Database_200!$I69*3.375 + Cp_Database_200!$J69/2.25, 2), "-")</f>
        <v>87.11</v>
      </c>
      <c r="P69" s="16">
        <f>IF(AND(2000&gt;=$E69, 2000&lt;=$F69), ROUND(Cp_Database_200!$F69 + Cp_Database_200!$G69*2 + Cp_Database_200!$H69*4 + Cp_Database_200!$I69*8 + Cp_Database_200!$J69/4, 2), "-")</f>
        <v>94.13</v>
      </c>
    </row>
    <row r="70" spans="1:16" ht="15" x14ac:dyDescent="0.3">
      <c r="A70" s="2">
        <f>Cp_Database_200!A70</f>
        <v>69</v>
      </c>
      <c r="B70" s="3" t="str">
        <f>Cp_Database_200!B70</f>
        <v>Zirconium Diboride</v>
      </c>
      <c r="C70" s="4" t="str">
        <f>Cp_Database_200!C70</f>
        <v>ZrB2</v>
      </c>
      <c r="D70" s="3" t="str">
        <f>Cp_Database_200!E70</f>
        <v>Ceramic (Boride)</v>
      </c>
      <c r="E70" s="6">
        <f>Cp_Database_200!K70</f>
        <v>298</v>
      </c>
      <c r="F70" s="6">
        <f>Cp_Database_200!L70</f>
        <v>3323</v>
      </c>
      <c r="G70" s="15">
        <f>IF(AND(298.15&gt;=$E70, 298.15&lt;=$F70), ROUND(Cp_Database_200!$F70 + Cp_Database_200!$G70*0.29815 + Cp_Database_200!$H70*0.08889342 + Cp_Database_200!$I70*0.02650357 + Cp_Database_200!$J70/0.08889342, 2), "-")</f>
        <v>48.12</v>
      </c>
      <c r="H70" s="15">
        <f>IF(AND(400&gt;=$E70, 400&lt;=$F70), ROUND(Cp_Database_200!$F70 + Cp_Database_200!$G70*0.4 + Cp_Database_200!$H70*0.16 + Cp_Database_200!$I70*0.064 + Cp_Database_200!$J70/0.16, 2), "-")</f>
        <v>57.97</v>
      </c>
      <c r="I70" s="15">
        <f>IF(AND(500&gt;=$E70, 500&lt;=$F70), ROUND(Cp_Database_200!$F70 + Cp_Database_200!$G70*0.5 + Cp_Database_200!$H70*0.25 + Cp_Database_200!$I70*0.125 + Cp_Database_200!$J70/0.25, 2), "-")</f>
        <v>62.79</v>
      </c>
      <c r="J70" s="15">
        <f>IF(AND(600&gt;=$E70, 600&lt;=$F70), ROUND(Cp_Database_200!$F70 + Cp_Database_200!$G70*0.6 + Cp_Database_200!$H70*0.36 + Cp_Database_200!$I70*0.216 + Cp_Database_200!$J70/0.36, 2), "-")</f>
        <v>65.739999999999995</v>
      </c>
      <c r="K70" s="15">
        <f>IF(AND(700&gt;=$E70, 700&lt;=$F70), ROUND(Cp_Database_200!$F70 + Cp_Database_200!$G70*0.7 + Cp_Database_200!$H70*0.49 + Cp_Database_200!$I70*0.343 + Cp_Database_200!$J70/0.49, 2), "-")</f>
        <v>67.83</v>
      </c>
      <c r="L70" s="15">
        <f>IF(AND(800&gt;=$E70, 800&lt;=$F70), ROUND(Cp_Database_200!$F70 + Cp_Database_200!$G70*0.8 + Cp_Database_200!$H70*0.64 + Cp_Database_200!$I70*0.512 + Cp_Database_200!$J70/0.64, 2), "-")</f>
        <v>69.47</v>
      </c>
      <c r="M70" s="15">
        <f>IF(AND(1000&gt;=$E70, 1000&lt;=$F70), ROUND(Cp_Database_200!$F70 + Cp_Database_200!$G70*1 + Cp_Database_200!$H70*1 + Cp_Database_200!$I70*1 + Cp_Database_200!$J70/1, 2), "-")</f>
        <v>72.069999999999993</v>
      </c>
      <c r="N70" s="15">
        <f>IF(AND(1200&gt;=$E70, 1200&lt;=$F70), ROUND(Cp_Database_200!$F70 + Cp_Database_200!$G70*1.2 + Cp_Database_200!$H70*1.44 + Cp_Database_200!$I70*1.728 + Cp_Database_200!$J70/1.44, 2), "-")</f>
        <v>74.290000000000006</v>
      </c>
      <c r="O70" s="15">
        <f>IF(AND(1500&gt;=$E70, 1500&lt;=$F70), ROUND(Cp_Database_200!$F70 + Cp_Database_200!$G70*1.5 + Cp_Database_200!$H70*2.25 + Cp_Database_200!$I70*3.375 + Cp_Database_200!$J70/2.25, 2), "-")</f>
        <v>77.36</v>
      </c>
      <c r="P70" s="15">
        <f>IF(AND(2000&gt;=$E70, 2000&lt;=$F70), ROUND(Cp_Database_200!$F70 + Cp_Database_200!$G70*2 + Cp_Database_200!$H70*4 + Cp_Database_200!$I70*8 + Cp_Database_200!$J70/4, 2), "-")</f>
        <v>82.36</v>
      </c>
    </row>
    <row r="71" spans="1:16" ht="15" x14ac:dyDescent="0.3">
      <c r="A71" s="8">
        <f>Cp_Database_200!A71</f>
        <v>70</v>
      </c>
      <c r="B71" s="9" t="str">
        <f>Cp_Database_200!B71</f>
        <v>Magnesium Silicide</v>
      </c>
      <c r="C71" s="10" t="str">
        <f>Cp_Database_200!C71</f>
        <v>Mg2Si</v>
      </c>
      <c r="D71" s="9" t="str">
        <f>Cp_Database_200!E71</f>
        <v>Ceramic (Silicide)</v>
      </c>
      <c r="E71" s="12">
        <f>Cp_Database_200!K71</f>
        <v>298</v>
      </c>
      <c r="F71" s="12">
        <f>Cp_Database_200!L71</f>
        <v>1375</v>
      </c>
      <c r="G71" s="16">
        <f>IF(AND(298.15&gt;=$E71, 298.15&lt;=$F71), ROUND(Cp_Database_200!$F71 + Cp_Database_200!$G71*0.29815 + Cp_Database_200!$H71*0.08889342 + Cp_Database_200!$I71*0.02650357 + Cp_Database_200!$J71/0.08889342, 2), "-")</f>
        <v>67.86</v>
      </c>
      <c r="H71" s="16">
        <f>IF(AND(400&gt;=$E71, 400&lt;=$F71), ROUND(Cp_Database_200!$F71 + Cp_Database_200!$G71*0.4 + Cp_Database_200!$H71*0.16 + Cp_Database_200!$I71*0.064 + Cp_Database_200!$J71/0.16, 2), "-")</f>
        <v>73.77</v>
      </c>
      <c r="I71" s="16">
        <f>IF(AND(500&gt;=$E71, 500&lt;=$F71), ROUND(Cp_Database_200!$F71 + Cp_Database_200!$G71*0.5 + Cp_Database_200!$H71*0.25 + Cp_Database_200!$I71*0.125 + Cp_Database_200!$J71/0.25, 2), "-")</f>
        <v>77.25</v>
      </c>
      <c r="J71" s="16">
        <f>IF(AND(600&gt;=$E71, 600&lt;=$F71), ROUND(Cp_Database_200!$F71 + Cp_Database_200!$G71*0.6 + Cp_Database_200!$H71*0.36 + Cp_Database_200!$I71*0.216 + Cp_Database_200!$J71/0.36, 2), "-")</f>
        <v>79.83</v>
      </c>
      <c r="K71" s="16">
        <f>IF(AND(700&gt;=$E71, 700&lt;=$F71), ROUND(Cp_Database_200!$F71 + Cp_Database_200!$G71*0.7 + Cp_Database_200!$H71*0.49 + Cp_Database_200!$I71*0.343 + Cp_Database_200!$J71/0.49, 2), "-")</f>
        <v>81.98</v>
      </c>
      <c r="L71" s="16">
        <f>IF(AND(800&gt;=$E71, 800&lt;=$F71), ROUND(Cp_Database_200!$F71 + Cp_Database_200!$G71*0.8 + Cp_Database_200!$H71*0.64 + Cp_Database_200!$I71*0.512 + Cp_Database_200!$J71/0.64, 2), "-")</f>
        <v>83.92</v>
      </c>
      <c r="M71" s="16">
        <f>IF(AND(1000&gt;=$E71, 1000&lt;=$F71), ROUND(Cp_Database_200!$F71 + Cp_Database_200!$G71*1 + Cp_Database_200!$H71*1 + Cp_Database_200!$I71*1 + Cp_Database_200!$J71/1, 2), "-")</f>
        <v>87.43</v>
      </c>
      <c r="N71" s="16">
        <f>IF(AND(1200&gt;=$E71, 1200&lt;=$F71), ROUND(Cp_Database_200!$F71 + Cp_Database_200!$G71*1.2 + Cp_Database_200!$H71*1.44 + Cp_Database_200!$I71*1.728 + Cp_Database_200!$J71/1.44, 2), "-")</f>
        <v>90.69</v>
      </c>
      <c r="O71" s="16" t="str">
        <f>IF(AND(1500&gt;=$E71, 1500&lt;=$F71), ROUND(Cp_Database_200!$F71 + Cp_Database_200!$G71*1.5 + Cp_Database_200!$H71*2.25 + Cp_Database_200!$I71*3.375 + Cp_Database_200!$J71/2.25, 2), "-")</f>
        <v>-</v>
      </c>
      <c r="P71" s="16" t="str">
        <f>IF(AND(2000&gt;=$E71, 2000&lt;=$F71), ROUND(Cp_Database_200!$F71 + Cp_Database_200!$G71*2 + Cp_Database_200!$H71*4 + Cp_Database_200!$I71*8 + Cp_Database_200!$J71/4, 2), "-")</f>
        <v>-</v>
      </c>
    </row>
    <row r="72" spans="1:16" ht="15" x14ac:dyDescent="0.3">
      <c r="A72" s="2">
        <f>Cp_Database_200!A72</f>
        <v>71</v>
      </c>
      <c r="B72" s="3" t="str">
        <f>Cp_Database_200!B72</f>
        <v>Silicon</v>
      </c>
      <c r="C72" s="4" t="str">
        <f>Cp_Database_200!C72</f>
        <v>Si</v>
      </c>
      <c r="D72" s="3" t="str">
        <f>Cp_Database_200!E72</f>
        <v>Semiconductor</v>
      </c>
      <c r="E72" s="6">
        <f>Cp_Database_200!K72</f>
        <v>298</v>
      </c>
      <c r="F72" s="6">
        <f>Cp_Database_200!L72</f>
        <v>1685</v>
      </c>
      <c r="G72" s="15">
        <f>IF(AND(298.15&gt;=$E72, 298.15&lt;=$F72), ROUND(Cp_Database_200!$F72 + Cp_Database_200!$G72*0.29815 + Cp_Database_200!$H72*0.08889342 + Cp_Database_200!$I72*0.02650357 + Cp_Database_200!$J72/0.08889342, 2), "-")</f>
        <v>19.989999999999998</v>
      </c>
      <c r="H72" s="15">
        <f>IF(AND(400&gt;=$E72, 400&lt;=$F72), ROUND(Cp_Database_200!$F72 + Cp_Database_200!$G72*0.4 + Cp_Database_200!$H72*0.16 + Cp_Database_200!$I72*0.064 + Cp_Database_200!$J72/0.16, 2), "-")</f>
        <v>22.15</v>
      </c>
      <c r="I72" s="15">
        <f>IF(AND(500&gt;=$E72, 500&lt;=$F72), ROUND(Cp_Database_200!$F72 + Cp_Database_200!$G72*0.5 + Cp_Database_200!$H72*0.25 + Cp_Database_200!$I72*0.125 + Cp_Database_200!$J72/0.25, 2), "-")</f>
        <v>23.34</v>
      </c>
      <c r="J72" s="15">
        <f>IF(AND(600&gt;=$E72, 600&lt;=$F72), ROUND(Cp_Database_200!$F72 + Cp_Database_200!$G72*0.6 + Cp_Database_200!$H72*0.36 + Cp_Database_200!$I72*0.216 + Cp_Database_200!$J72/0.36, 2), "-")</f>
        <v>24.15</v>
      </c>
      <c r="K72" s="15">
        <f>IF(AND(700&gt;=$E72, 700&lt;=$F72), ROUND(Cp_Database_200!$F72 + Cp_Database_200!$G72*0.7 + Cp_Database_200!$H72*0.49 + Cp_Database_200!$I72*0.343 + Cp_Database_200!$J72/0.49, 2), "-")</f>
        <v>24.8</v>
      </c>
      <c r="L72" s="15">
        <f>IF(AND(800&gt;=$E72, 800&lt;=$F72), ROUND(Cp_Database_200!$F72 + Cp_Database_200!$G72*0.8 + Cp_Database_200!$H72*0.64 + Cp_Database_200!$I72*0.512 + Cp_Database_200!$J72/0.64, 2), "-")</f>
        <v>25.35</v>
      </c>
      <c r="M72" s="15">
        <f>IF(AND(1000&gt;=$E72, 1000&lt;=$F72), ROUND(Cp_Database_200!$F72 + Cp_Database_200!$G72*1 + Cp_Database_200!$H72*1 + Cp_Database_200!$I72*1 + Cp_Database_200!$J72/1, 2), "-")</f>
        <v>26.32</v>
      </c>
      <c r="N72" s="15">
        <f>IF(AND(1200&gt;=$E72, 1200&lt;=$F72), ROUND(Cp_Database_200!$F72 + Cp_Database_200!$G72*1.2 + Cp_Database_200!$H72*1.44 + Cp_Database_200!$I72*1.728 + Cp_Database_200!$J72/1.44, 2), "-")</f>
        <v>27.2</v>
      </c>
      <c r="O72" s="15">
        <f>IF(AND(1500&gt;=$E72, 1500&lt;=$F72), ROUND(Cp_Database_200!$F72 + Cp_Database_200!$G72*1.5 + Cp_Database_200!$H72*2.25 + Cp_Database_200!$I72*3.375 + Cp_Database_200!$J72/2.25, 2), "-")</f>
        <v>28.46</v>
      </c>
      <c r="P72" s="15" t="str">
        <f>IF(AND(2000&gt;=$E72, 2000&lt;=$F72), ROUND(Cp_Database_200!$F72 + Cp_Database_200!$G72*2 + Cp_Database_200!$H72*4 + Cp_Database_200!$I72*8 + Cp_Database_200!$J72/4, 2), "-")</f>
        <v>-</v>
      </c>
    </row>
    <row r="73" spans="1:16" ht="15" x14ac:dyDescent="0.3">
      <c r="A73" s="8">
        <f>Cp_Database_200!A73</f>
        <v>72</v>
      </c>
      <c r="B73" s="9" t="str">
        <f>Cp_Database_200!B73</f>
        <v>Lead(II) Sulfide</v>
      </c>
      <c r="C73" s="10" t="str">
        <f>Cp_Database_200!C73</f>
        <v>PbS</v>
      </c>
      <c r="D73" s="9" t="str">
        <f>Cp_Database_200!E73</f>
        <v>Semiconductor</v>
      </c>
      <c r="E73" s="12">
        <f>Cp_Database_200!K73</f>
        <v>298</v>
      </c>
      <c r="F73" s="12">
        <f>Cp_Database_200!L73</f>
        <v>1386.5</v>
      </c>
      <c r="G73" s="16">
        <f>IF(AND(298.15&gt;=$E73, 298.15&lt;=$F73), ROUND(Cp_Database_200!$F73 + Cp_Database_200!$G73*0.29815 + Cp_Database_200!$H73*0.08889342 + Cp_Database_200!$I73*0.02650357 + Cp_Database_200!$J73/0.08889342, 2), "-")</f>
        <v>49.43</v>
      </c>
      <c r="H73" s="16">
        <f>IF(AND(400&gt;=$E73, 400&lt;=$F73), ROUND(Cp_Database_200!$F73 + Cp_Database_200!$G73*0.4 + Cp_Database_200!$H73*0.16 + Cp_Database_200!$I73*0.064 + Cp_Database_200!$J73/0.16, 2), "-")</f>
        <v>50.48</v>
      </c>
      <c r="I73" s="16">
        <f>IF(AND(500&gt;=$E73, 500&lt;=$F73), ROUND(Cp_Database_200!$F73 + Cp_Database_200!$G73*0.5 + Cp_Database_200!$H73*0.25 + Cp_Database_200!$I73*0.125 + Cp_Database_200!$J73/0.25, 2), "-")</f>
        <v>51.44</v>
      </c>
      <c r="J73" s="16">
        <f>IF(AND(600&gt;=$E73, 600&lt;=$F73), ROUND(Cp_Database_200!$F73 + Cp_Database_200!$G73*0.6 + Cp_Database_200!$H73*0.36 + Cp_Database_200!$I73*0.216 + Cp_Database_200!$J73/0.36, 2), "-")</f>
        <v>52.39</v>
      </c>
      <c r="K73" s="16">
        <f>IF(AND(700&gt;=$E73, 700&lt;=$F73), ROUND(Cp_Database_200!$F73 + Cp_Database_200!$G73*0.7 + Cp_Database_200!$H73*0.49 + Cp_Database_200!$I73*0.343 + Cp_Database_200!$J73/0.49, 2), "-")</f>
        <v>53.34</v>
      </c>
      <c r="L73" s="16">
        <f>IF(AND(800&gt;=$E73, 800&lt;=$F73), ROUND(Cp_Database_200!$F73 + Cp_Database_200!$G73*0.8 + Cp_Database_200!$H73*0.64 + Cp_Database_200!$I73*0.512 + Cp_Database_200!$J73/0.64, 2), "-")</f>
        <v>54.3</v>
      </c>
      <c r="M73" s="16">
        <f>IF(AND(1000&gt;=$E73, 1000&lt;=$F73), ROUND(Cp_Database_200!$F73 + Cp_Database_200!$G73*1 + Cp_Database_200!$H73*1 + Cp_Database_200!$I73*1 + Cp_Database_200!$J73/1, 2), "-")</f>
        <v>56.21</v>
      </c>
      <c r="N73" s="16">
        <f>IF(AND(1200&gt;=$E73, 1200&lt;=$F73), ROUND(Cp_Database_200!$F73 + Cp_Database_200!$G73*1.2 + Cp_Database_200!$H73*1.44 + Cp_Database_200!$I73*1.728 + Cp_Database_200!$J73/1.44, 2), "-")</f>
        <v>58.1</v>
      </c>
      <c r="O73" s="16" t="str">
        <f>IF(AND(1500&gt;=$E73, 1500&lt;=$F73), ROUND(Cp_Database_200!$F73 + Cp_Database_200!$G73*1.5 + Cp_Database_200!$H73*2.25 + Cp_Database_200!$I73*3.375 + Cp_Database_200!$J73/2.25, 2), "-")</f>
        <v>-</v>
      </c>
      <c r="P73" s="16" t="str">
        <f>IF(AND(2000&gt;=$E73, 2000&lt;=$F73), ROUND(Cp_Database_200!$F73 + Cp_Database_200!$G73*2 + Cp_Database_200!$H73*4 + Cp_Database_200!$I73*8 + Cp_Database_200!$J73/4, 2), "-")</f>
        <v>-</v>
      </c>
    </row>
    <row r="74" spans="1:16" ht="15" x14ac:dyDescent="0.3">
      <c r="A74" s="2">
        <f>Cp_Database_200!A74</f>
        <v>73</v>
      </c>
      <c r="B74" s="3" t="str">
        <f>Cp_Database_200!B74</f>
        <v>Molybdenum Disulfide</v>
      </c>
      <c r="C74" s="4" t="str">
        <f>Cp_Database_200!C74</f>
        <v>MoS2</v>
      </c>
      <c r="D74" s="3" t="str">
        <f>Cp_Database_200!E74</f>
        <v>Semiconductor</v>
      </c>
      <c r="E74" s="6">
        <f>Cp_Database_200!K74</f>
        <v>298</v>
      </c>
      <c r="F74" s="6">
        <f>Cp_Database_200!L74</f>
        <v>2400</v>
      </c>
      <c r="G74" s="15">
        <f>IF(AND(298.15&gt;=$E74, 298.15&lt;=$F74), ROUND(Cp_Database_200!$F74 + Cp_Database_200!$G74*0.29815 + Cp_Database_200!$H74*0.08889342 + Cp_Database_200!$I74*0.02650357 + Cp_Database_200!$J74/0.08889342, 2), "-")</f>
        <v>63.55</v>
      </c>
      <c r="H74" s="15">
        <f>IF(AND(400&gt;=$E74, 400&lt;=$F74), ROUND(Cp_Database_200!$F74 + Cp_Database_200!$G74*0.4 + Cp_Database_200!$H74*0.16 + Cp_Database_200!$I74*0.064 + Cp_Database_200!$J74/0.16, 2), "-")</f>
        <v>68.92</v>
      </c>
      <c r="I74" s="15">
        <f>IF(AND(500&gt;=$E74, 500&lt;=$F74), ROUND(Cp_Database_200!$F74 + Cp_Database_200!$G74*0.5 + Cp_Database_200!$H74*0.25 + Cp_Database_200!$I74*0.125 + Cp_Database_200!$J74/0.25, 2), "-")</f>
        <v>71.739999999999995</v>
      </c>
      <c r="J74" s="15">
        <f>IF(AND(600&gt;=$E74, 600&lt;=$F74), ROUND(Cp_Database_200!$F74 + Cp_Database_200!$G74*0.6 + Cp_Database_200!$H74*0.36 + Cp_Database_200!$I74*0.216 + Cp_Database_200!$J74/0.36, 2), "-")</f>
        <v>73.61</v>
      </c>
      <c r="K74" s="15">
        <f>IF(AND(700&gt;=$E74, 700&lt;=$F74), ROUND(Cp_Database_200!$F74 + Cp_Database_200!$G74*0.7 + Cp_Database_200!$H74*0.49 + Cp_Database_200!$I74*0.343 + Cp_Database_200!$J74/0.49, 2), "-")</f>
        <v>75.03</v>
      </c>
      <c r="L74" s="15">
        <f>IF(AND(800&gt;=$E74, 800&lt;=$F74), ROUND(Cp_Database_200!$F74 + Cp_Database_200!$G74*0.8 + Cp_Database_200!$H74*0.64 + Cp_Database_200!$I74*0.512 + Cp_Database_200!$J74/0.64, 2), "-")</f>
        <v>76.22</v>
      </c>
      <c r="M74" s="15">
        <f>IF(AND(1000&gt;=$E74, 1000&lt;=$F74), ROUND(Cp_Database_200!$F74 + Cp_Database_200!$G74*1 + Cp_Database_200!$H74*1 + Cp_Database_200!$I74*1 + Cp_Database_200!$J74/1, 2), "-")</f>
        <v>78.23</v>
      </c>
      <c r="N74" s="15">
        <f>IF(AND(1200&gt;=$E74, 1200&lt;=$F74), ROUND(Cp_Database_200!$F74 + Cp_Database_200!$G74*1.2 + Cp_Database_200!$H74*1.44 + Cp_Database_200!$I74*1.728 + Cp_Database_200!$J74/1.44, 2), "-")</f>
        <v>80</v>
      </c>
      <c r="O74" s="15">
        <f>IF(AND(1500&gt;=$E74, 1500&lt;=$F74), ROUND(Cp_Database_200!$F74 + Cp_Database_200!$G74*1.5 + Cp_Database_200!$H74*2.25 + Cp_Database_200!$I74*3.375 + Cp_Database_200!$J74/2.25, 2), "-")</f>
        <v>82.47</v>
      </c>
      <c r="P74" s="15">
        <f>IF(AND(2000&gt;=$E74, 2000&lt;=$F74), ROUND(Cp_Database_200!$F74 + Cp_Database_200!$G74*2 + Cp_Database_200!$H74*4 + Cp_Database_200!$I74*8 + Cp_Database_200!$J74/4, 2), "-")</f>
        <v>86.36</v>
      </c>
    </row>
    <row r="75" spans="1:16" ht="15" x14ac:dyDescent="0.3">
      <c r="A75" s="8">
        <f>Cp_Database_200!A75</f>
        <v>74</v>
      </c>
      <c r="B75" s="9" t="str">
        <f>Cp_Database_200!B75</f>
        <v>Mullite</v>
      </c>
      <c r="C75" s="10" t="str">
        <f>Cp_Database_200!C75</f>
        <v>Al6Si2O13</v>
      </c>
      <c r="D75" s="9" t="str">
        <f>Cp_Database_200!E75</f>
        <v>Refractory &amp; Mineral</v>
      </c>
      <c r="E75" s="12">
        <f>Cp_Database_200!K75</f>
        <v>298</v>
      </c>
      <c r="F75" s="12">
        <f>Cp_Database_200!L75</f>
        <v>1700</v>
      </c>
      <c r="G75" s="16">
        <f>IF(AND(298.15&gt;=$E75, 298.15&lt;=$F75), ROUND(Cp_Database_200!$F75 + Cp_Database_200!$G75*0.29815 + Cp_Database_200!$H75*0.08889342 + Cp_Database_200!$I75*0.02650357 + Cp_Database_200!$J75/0.08889342, 2), "-")</f>
        <v>325.18</v>
      </c>
      <c r="H75" s="16">
        <f>IF(AND(400&gt;=$E75, 400&lt;=$F75), ROUND(Cp_Database_200!$F75 + Cp_Database_200!$G75*0.4 + Cp_Database_200!$H75*0.16 + Cp_Database_200!$I75*0.064 + Cp_Database_200!$J75/0.16, 2), "-")</f>
        <v>392.62</v>
      </c>
      <c r="I75" s="16">
        <f>IF(AND(500&gt;=$E75, 500&lt;=$F75), ROUND(Cp_Database_200!$F75 + Cp_Database_200!$G75*0.5 + Cp_Database_200!$H75*0.25 + Cp_Database_200!$I75*0.125 + Cp_Database_200!$J75/0.25, 2), "-")</f>
        <v>431.83</v>
      </c>
      <c r="J75" s="16">
        <f>IF(AND(600&gt;=$E75, 600&lt;=$F75), ROUND(Cp_Database_200!$F75 + Cp_Database_200!$G75*0.6 + Cp_Database_200!$H75*0.36 + Cp_Database_200!$I75*0.216 + Cp_Database_200!$J75/0.36, 2), "-")</f>
        <v>458.75</v>
      </c>
      <c r="K75" s="16">
        <f>IF(AND(700&gt;=$E75, 700&lt;=$F75), ROUND(Cp_Database_200!$F75 + Cp_Database_200!$G75*0.7 + Cp_Database_200!$H75*0.49 + Cp_Database_200!$I75*0.343 + Cp_Database_200!$J75/0.49, 2), "-")</f>
        <v>478.54</v>
      </c>
      <c r="L75" s="16">
        <f>IF(AND(800&gt;=$E75, 800&lt;=$F75), ROUND(Cp_Database_200!$F75 + Cp_Database_200!$G75*0.8 + Cp_Database_200!$H75*0.64 + Cp_Database_200!$I75*0.512 + Cp_Database_200!$J75/0.64, 2), "-")</f>
        <v>493.53</v>
      </c>
      <c r="M75" s="16">
        <f>IF(AND(1000&gt;=$E75, 1000&lt;=$F75), ROUND(Cp_Database_200!$F75 + Cp_Database_200!$G75*1 + Cp_Database_200!$H75*1 + Cp_Database_200!$I75*1 + Cp_Database_200!$J75/1, 2), "-")</f>
        <v>513.99</v>
      </c>
      <c r="N75" s="16">
        <f>IF(AND(1200&gt;=$E75, 1200&lt;=$F75), ROUND(Cp_Database_200!$F75 + Cp_Database_200!$G75*1.2 + Cp_Database_200!$H75*1.44 + Cp_Database_200!$I75*1.728 + Cp_Database_200!$J75/1.44, 2), "-")</f>
        <v>526.54999999999995</v>
      </c>
      <c r="O75" s="16">
        <f>IF(AND(1500&gt;=$E75, 1500&lt;=$F75), ROUND(Cp_Database_200!$F75 + Cp_Database_200!$G75*1.5 + Cp_Database_200!$H75*2.25 + Cp_Database_200!$I75*3.375 + Cp_Database_200!$J75/2.25, 2), "-")</f>
        <v>539.41999999999996</v>
      </c>
      <c r="P75" s="16" t="str">
        <f>IF(AND(2000&gt;=$E75, 2000&lt;=$F75), ROUND(Cp_Database_200!$F75 + Cp_Database_200!$G75*2 + Cp_Database_200!$H75*4 + Cp_Database_200!$I75*8 + Cp_Database_200!$J75/4, 2), "-")</f>
        <v>-</v>
      </c>
    </row>
    <row r="76" spans="1:16" ht="15" x14ac:dyDescent="0.3">
      <c r="A76" s="2">
        <f>Cp_Database_200!A76</f>
        <v>75</v>
      </c>
      <c r="B76" s="3" t="str">
        <f>Cp_Database_200!B76</f>
        <v>Spinel (magnesium aluminate)</v>
      </c>
      <c r="C76" s="4" t="str">
        <f>Cp_Database_200!C76</f>
        <v>MgAl2O4</v>
      </c>
      <c r="D76" s="3" t="str">
        <f>Cp_Database_200!E76</f>
        <v>Refractory &amp; Mineral</v>
      </c>
      <c r="E76" s="6">
        <f>Cp_Database_200!K76</f>
        <v>298</v>
      </c>
      <c r="F76" s="6">
        <f>Cp_Database_200!L76</f>
        <v>2408</v>
      </c>
      <c r="G76" s="15">
        <f>IF(AND(298.15&gt;=$E76, 298.15&lt;=$F76), ROUND(Cp_Database_200!$F76 + Cp_Database_200!$G76*0.29815 + Cp_Database_200!$H76*0.08889342 + Cp_Database_200!$I76*0.02650357 + Cp_Database_200!$J76/0.08889342, 2), "-")</f>
        <v>116.07</v>
      </c>
      <c r="H76" s="15">
        <f>IF(AND(400&gt;=$E76, 400&lt;=$F76), ROUND(Cp_Database_200!$F76 + Cp_Database_200!$G76*0.4 + Cp_Database_200!$H76*0.16 + Cp_Database_200!$I76*0.064 + Cp_Database_200!$J76/0.16, 2), "-")</f>
        <v>138.02000000000001</v>
      </c>
      <c r="I76" s="15">
        <f>IF(AND(500&gt;=$E76, 500&lt;=$F76), ROUND(Cp_Database_200!$F76 + Cp_Database_200!$G76*0.5 + Cp_Database_200!$H76*0.25 + Cp_Database_200!$I76*0.125 + Cp_Database_200!$J76/0.25, 2), "-")</f>
        <v>149.83000000000001</v>
      </c>
      <c r="J76" s="15">
        <f>IF(AND(600&gt;=$E76, 600&lt;=$F76), ROUND(Cp_Database_200!$F76 + Cp_Database_200!$G76*0.6 + Cp_Database_200!$H76*0.36 + Cp_Database_200!$I76*0.216 + Cp_Database_200!$J76/0.36, 2), "-")</f>
        <v>157.88</v>
      </c>
      <c r="K76" s="15">
        <f>IF(AND(700&gt;=$E76, 700&lt;=$F76), ROUND(Cp_Database_200!$F76 + Cp_Database_200!$G76*0.7 + Cp_Database_200!$H76*0.49 + Cp_Database_200!$I76*0.343 + Cp_Database_200!$J76/0.49, 2), "-")</f>
        <v>164.15</v>
      </c>
      <c r="L76" s="15">
        <f>IF(AND(800&gt;=$E76, 800&lt;=$F76), ROUND(Cp_Database_200!$F76 + Cp_Database_200!$G76*0.8 + Cp_Database_200!$H76*0.64 + Cp_Database_200!$I76*0.512 + Cp_Database_200!$J76/0.64, 2), "-")</f>
        <v>169.47</v>
      </c>
      <c r="M76" s="15">
        <f>IF(AND(1000&gt;=$E76, 1000&lt;=$F76), ROUND(Cp_Database_200!$F76 + Cp_Database_200!$G76*1 + Cp_Database_200!$H76*1 + Cp_Database_200!$I76*1 + Cp_Database_200!$J76/1, 2), "-")</f>
        <v>178.66</v>
      </c>
      <c r="N76" s="15">
        <f>IF(AND(1200&gt;=$E76, 1200&lt;=$F76), ROUND(Cp_Database_200!$F76 + Cp_Database_200!$G76*1.2 + Cp_Database_200!$H76*1.44 + Cp_Database_200!$I76*1.728 + Cp_Database_200!$J76/1.44, 2), "-")</f>
        <v>186.9</v>
      </c>
      <c r="O76" s="15">
        <f>IF(AND(1500&gt;=$E76, 1500&lt;=$F76), ROUND(Cp_Database_200!$F76 + Cp_Database_200!$G76*1.5 + Cp_Database_200!$H76*2.25 + Cp_Database_200!$I76*3.375 + Cp_Database_200!$J76/2.25, 2), "-")</f>
        <v>198.49</v>
      </c>
      <c r="P76" s="15">
        <f>IF(AND(2000&gt;=$E76, 2000&lt;=$F76), ROUND(Cp_Database_200!$F76 + Cp_Database_200!$G76*2 + Cp_Database_200!$H76*4 + Cp_Database_200!$I76*8 + Cp_Database_200!$J76/4, 2), "-")</f>
        <v>216.98</v>
      </c>
    </row>
    <row r="77" spans="1:16" ht="15" x14ac:dyDescent="0.3">
      <c r="A77" s="8">
        <f>Cp_Database_200!A77</f>
        <v>76</v>
      </c>
      <c r="B77" s="9" t="str">
        <f>Cp_Database_200!B77</f>
        <v>Zircon (zirconium silicate)</v>
      </c>
      <c r="C77" s="10" t="str">
        <f>Cp_Database_200!C77</f>
        <v>ZrSiO4</v>
      </c>
      <c r="D77" s="9" t="str">
        <f>Cp_Database_200!E77</f>
        <v>Refractory &amp; Mineral</v>
      </c>
      <c r="E77" s="12">
        <f>Cp_Database_200!K77</f>
        <v>298</v>
      </c>
      <c r="F77" s="12">
        <f>Cp_Database_200!L77</f>
        <v>1700</v>
      </c>
      <c r="G77" s="16">
        <f>IF(AND(298.15&gt;=$E77, 298.15&lt;=$F77), ROUND(Cp_Database_200!$F77 + Cp_Database_200!$G77*0.29815 + Cp_Database_200!$H77*0.08889342 + Cp_Database_200!$I77*0.02650357 + Cp_Database_200!$J77/0.08889342, 2), "-")</f>
        <v>98.58</v>
      </c>
      <c r="H77" s="16">
        <f>IF(AND(400&gt;=$E77, 400&lt;=$F77), ROUND(Cp_Database_200!$F77 + Cp_Database_200!$G77*0.4 + Cp_Database_200!$H77*0.16 + Cp_Database_200!$I77*0.064 + Cp_Database_200!$J77/0.16, 2), "-")</f>
        <v>115.34</v>
      </c>
      <c r="I77" s="16">
        <f>IF(AND(500&gt;=$E77, 500&lt;=$F77), ROUND(Cp_Database_200!$F77 + Cp_Database_200!$G77*0.5 + Cp_Database_200!$H77*0.25 + Cp_Database_200!$I77*0.125 + Cp_Database_200!$J77/0.25, 2), "-")</f>
        <v>125.77</v>
      </c>
      <c r="J77" s="16">
        <f>IF(AND(600&gt;=$E77, 600&lt;=$F77), ROUND(Cp_Database_200!$F77 + Cp_Database_200!$G77*0.6 + Cp_Database_200!$H77*0.36 + Cp_Database_200!$I77*0.216 + Cp_Database_200!$J77/0.36, 2), "-")</f>
        <v>133.16999999999999</v>
      </c>
      <c r="K77" s="16">
        <f>IF(AND(700&gt;=$E77, 700&lt;=$F77), ROUND(Cp_Database_200!$F77 + Cp_Database_200!$G77*0.7 + Cp_Database_200!$H77*0.49 + Cp_Database_200!$I77*0.343 + Cp_Database_200!$J77/0.49, 2), "-")</f>
        <v>138.62</v>
      </c>
      <c r="L77" s="16">
        <f>IF(AND(800&gt;=$E77, 800&lt;=$F77), ROUND(Cp_Database_200!$F77 + Cp_Database_200!$G77*0.8 + Cp_Database_200!$H77*0.64 + Cp_Database_200!$I77*0.512 + Cp_Database_200!$J77/0.64, 2), "-")</f>
        <v>142.63</v>
      </c>
      <c r="M77" s="16">
        <f>IF(AND(1000&gt;=$E77, 1000&lt;=$F77), ROUND(Cp_Database_200!$F77 + Cp_Database_200!$G77*1 + Cp_Database_200!$H77*1 + Cp_Database_200!$I77*1 + Cp_Database_200!$J77/1, 2), "-")</f>
        <v>147.57</v>
      </c>
      <c r="N77" s="16">
        <f>IF(AND(1200&gt;=$E77, 1200&lt;=$F77), ROUND(Cp_Database_200!$F77 + Cp_Database_200!$G77*1.2 + Cp_Database_200!$H77*1.44 + Cp_Database_200!$I77*1.728 + Cp_Database_200!$J77/1.44, 2), "-")</f>
        <v>149.69999999999999</v>
      </c>
      <c r="O77" s="16">
        <f>IF(AND(1500&gt;=$E77, 1500&lt;=$F77), ROUND(Cp_Database_200!$F77 + Cp_Database_200!$G77*1.5 + Cp_Database_200!$H77*2.25 + Cp_Database_200!$I77*3.375 + Cp_Database_200!$J77/2.25, 2), "-")</f>
        <v>150.4</v>
      </c>
      <c r="P77" s="16" t="str">
        <f>IF(AND(2000&gt;=$E77, 2000&lt;=$F77), ROUND(Cp_Database_200!$F77 + Cp_Database_200!$G77*2 + Cp_Database_200!$H77*4 + Cp_Database_200!$I77*8 + Cp_Database_200!$J77/4, 2), "-")</f>
        <v>-</v>
      </c>
    </row>
    <row r="78" spans="1:16" ht="15" x14ac:dyDescent="0.3">
      <c r="A78" s="2">
        <f>Cp_Database_200!A78</f>
        <v>77</v>
      </c>
      <c r="B78" s="3" t="str">
        <f>Cp_Database_200!B78</f>
        <v>Andalusite</v>
      </c>
      <c r="C78" s="4" t="str">
        <f>Cp_Database_200!C78</f>
        <v>Al2SiO5</v>
      </c>
      <c r="D78" s="3" t="str">
        <f>Cp_Database_200!E78</f>
        <v>Refractory &amp; Mineral</v>
      </c>
      <c r="E78" s="6">
        <f>Cp_Database_200!K78</f>
        <v>298</v>
      </c>
      <c r="F78" s="6">
        <f>Cp_Database_200!L78</f>
        <v>3000</v>
      </c>
      <c r="G78" s="15">
        <f>IF(AND(298.15&gt;=$E78, 298.15&lt;=$F78), ROUND(Cp_Database_200!$F78 + Cp_Database_200!$G78*0.29815 + Cp_Database_200!$H78*0.08889342 + Cp_Database_200!$I78*0.02650357 + Cp_Database_200!$J78/0.08889342, 2), "-")</f>
        <v>122.4</v>
      </c>
      <c r="H78" s="15">
        <f>IF(AND(400&gt;=$E78, 400&lt;=$F78), ROUND(Cp_Database_200!$F78 + Cp_Database_200!$G78*0.4 + Cp_Database_200!$H78*0.16 + Cp_Database_200!$I78*0.064 + Cp_Database_200!$J78/0.16, 2), "-")</f>
        <v>150.88999999999999</v>
      </c>
      <c r="I78" s="15">
        <f>IF(AND(500&gt;=$E78, 500&lt;=$F78), ROUND(Cp_Database_200!$F78 + Cp_Database_200!$G78*0.5 + Cp_Database_200!$H78*0.25 + Cp_Database_200!$I78*0.125 + Cp_Database_200!$J78/0.25, 2), "-")</f>
        <v>165.22</v>
      </c>
      <c r="J78" s="15">
        <f>IF(AND(600&gt;=$E78, 600&lt;=$F78), ROUND(Cp_Database_200!$F78 + Cp_Database_200!$G78*0.6 + Cp_Database_200!$H78*0.36 + Cp_Database_200!$I78*0.216 + Cp_Database_200!$J78/0.36, 2), "-")</f>
        <v>174.24</v>
      </c>
      <c r="K78" s="15">
        <f>IF(AND(700&gt;=$E78, 700&lt;=$F78), ROUND(Cp_Database_200!$F78 + Cp_Database_200!$G78*0.7 + Cp_Database_200!$H78*0.49 + Cp_Database_200!$I78*0.343 + Cp_Database_200!$J78/0.49, 2), "-")</f>
        <v>180.73</v>
      </c>
      <c r="L78" s="15">
        <f>IF(AND(800&gt;=$E78, 800&lt;=$F78), ROUND(Cp_Database_200!$F78 + Cp_Database_200!$G78*0.8 + Cp_Database_200!$H78*0.64 + Cp_Database_200!$I78*0.512 + Cp_Database_200!$J78/0.64, 2), "-")</f>
        <v>185.85</v>
      </c>
      <c r="M78" s="15">
        <f>IF(AND(1000&gt;=$E78, 1000&lt;=$F78), ROUND(Cp_Database_200!$F78 + Cp_Database_200!$G78*1 + Cp_Database_200!$H78*1 + Cp_Database_200!$I78*1 + Cp_Database_200!$J78/1, 2), "-")</f>
        <v>193.93</v>
      </c>
      <c r="N78" s="15">
        <f>IF(AND(1200&gt;=$E78, 1200&lt;=$F78), ROUND(Cp_Database_200!$F78 + Cp_Database_200!$G78*1.2 + Cp_Database_200!$H78*1.44 + Cp_Database_200!$I78*1.728 + Cp_Database_200!$J78/1.44, 2), "-")</f>
        <v>200.53</v>
      </c>
      <c r="O78" s="15">
        <f>IF(AND(1500&gt;=$E78, 1500&lt;=$F78), ROUND(Cp_Database_200!$F78 + Cp_Database_200!$G78*1.5 + Cp_Database_200!$H78*2.25 + Cp_Database_200!$I78*3.375 + Cp_Database_200!$J78/2.25, 2), "-")</f>
        <v>209.11</v>
      </c>
      <c r="P78" s="15">
        <f>IF(AND(2000&gt;=$E78, 2000&lt;=$F78), ROUND(Cp_Database_200!$F78 + Cp_Database_200!$G78*2 + Cp_Database_200!$H78*4 + Cp_Database_200!$I78*8 + Cp_Database_200!$J78/4, 2), "-")</f>
        <v>221.82</v>
      </c>
    </row>
    <row r="79" spans="1:16" ht="15" x14ac:dyDescent="0.3">
      <c r="A79" s="8">
        <f>Cp_Database_200!A79</f>
        <v>78</v>
      </c>
      <c r="B79" s="9" t="str">
        <f>Cp_Database_200!B79</f>
        <v>Kyanite</v>
      </c>
      <c r="C79" s="10" t="str">
        <f>Cp_Database_200!C79</f>
        <v>Al2SiO5</v>
      </c>
      <c r="D79" s="9" t="str">
        <f>Cp_Database_200!E79</f>
        <v>Refractory &amp; Mineral</v>
      </c>
      <c r="E79" s="12">
        <f>Cp_Database_200!K79</f>
        <v>298</v>
      </c>
      <c r="F79" s="12">
        <f>Cp_Database_200!L79</f>
        <v>1700</v>
      </c>
      <c r="G79" s="16">
        <f>IF(AND(298.15&gt;=$E79, 298.15&lt;=$F79), ROUND(Cp_Database_200!$F79 + Cp_Database_200!$G79*0.29815 + Cp_Database_200!$H79*0.08889342 + Cp_Database_200!$I79*0.02650357 + Cp_Database_200!$J79/0.08889342, 2), "-")</f>
        <v>325.18</v>
      </c>
      <c r="H79" s="16">
        <f>IF(AND(400&gt;=$E79, 400&lt;=$F79), ROUND(Cp_Database_200!$F79 + Cp_Database_200!$G79*0.4 + Cp_Database_200!$H79*0.16 + Cp_Database_200!$I79*0.064 + Cp_Database_200!$J79/0.16, 2), "-")</f>
        <v>392.62</v>
      </c>
      <c r="I79" s="16">
        <f>IF(AND(500&gt;=$E79, 500&lt;=$F79), ROUND(Cp_Database_200!$F79 + Cp_Database_200!$G79*0.5 + Cp_Database_200!$H79*0.25 + Cp_Database_200!$I79*0.125 + Cp_Database_200!$J79/0.25, 2), "-")</f>
        <v>431.83</v>
      </c>
      <c r="J79" s="16">
        <f>IF(AND(600&gt;=$E79, 600&lt;=$F79), ROUND(Cp_Database_200!$F79 + Cp_Database_200!$G79*0.6 + Cp_Database_200!$H79*0.36 + Cp_Database_200!$I79*0.216 + Cp_Database_200!$J79/0.36, 2), "-")</f>
        <v>458.75</v>
      </c>
      <c r="K79" s="16">
        <f>IF(AND(700&gt;=$E79, 700&lt;=$F79), ROUND(Cp_Database_200!$F79 + Cp_Database_200!$G79*0.7 + Cp_Database_200!$H79*0.49 + Cp_Database_200!$I79*0.343 + Cp_Database_200!$J79/0.49, 2), "-")</f>
        <v>478.54</v>
      </c>
      <c r="L79" s="16">
        <f>IF(AND(800&gt;=$E79, 800&lt;=$F79), ROUND(Cp_Database_200!$F79 + Cp_Database_200!$G79*0.8 + Cp_Database_200!$H79*0.64 + Cp_Database_200!$I79*0.512 + Cp_Database_200!$J79/0.64, 2), "-")</f>
        <v>493.53</v>
      </c>
      <c r="M79" s="16">
        <f>IF(AND(1000&gt;=$E79, 1000&lt;=$F79), ROUND(Cp_Database_200!$F79 + Cp_Database_200!$G79*1 + Cp_Database_200!$H79*1 + Cp_Database_200!$I79*1 + Cp_Database_200!$J79/1, 2), "-")</f>
        <v>513.99</v>
      </c>
      <c r="N79" s="16">
        <f>IF(AND(1200&gt;=$E79, 1200&lt;=$F79), ROUND(Cp_Database_200!$F79 + Cp_Database_200!$G79*1.2 + Cp_Database_200!$H79*1.44 + Cp_Database_200!$I79*1.728 + Cp_Database_200!$J79/1.44, 2), "-")</f>
        <v>526.54999999999995</v>
      </c>
      <c r="O79" s="16">
        <f>IF(AND(1500&gt;=$E79, 1500&lt;=$F79), ROUND(Cp_Database_200!$F79 + Cp_Database_200!$G79*1.5 + Cp_Database_200!$H79*2.25 + Cp_Database_200!$I79*3.375 + Cp_Database_200!$J79/2.25, 2), "-")</f>
        <v>539.41999999999996</v>
      </c>
      <c r="P79" s="16" t="str">
        <f>IF(AND(2000&gt;=$E79, 2000&lt;=$F79), ROUND(Cp_Database_200!$F79 + Cp_Database_200!$G79*2 + Cp_Database_200!$H79*4 + Cp_Database_200!$I79*8 + Cp_Database_200!$J79/4, 2), "-")</f>
        <v>-</v>
      </c>
    </row>
    <row r="80" spans="1:16" ht="15" x14ac:dyDescent="0.3">
      <c r="A80" s="2">
        <f>Cp_Database_200!A80</f>
        <v>79</v>
      </c>
      <c r="B80" s="3" t="str">
        <f>Cp_Database_200!B80</f>
        <v>Sodium Chloride</v>
      </c>
      <c r="C80" s="4" t="str">
        <f>Cp_Database_200!C80</f>
        <v>NaCl</v>
      </c>
      <c r="D80" s="3" t="str">
        <f>Cp_Database_200!E80</f>
        <v>Halide &amp; Salt</v>
      </c>
      <c r="E80" s="6">
        <f>Cp_Database_200!K80</f>
        <v>298</v>
      </c>
      <c r="F80" s="6">
        <f>Cp_Database_200!L80</f>
        <v>1073</v>
      </c>
      <c r="G80" s="15">
        <f>IF(AND(298.15&gt;=$E80, 298.15&lt;=$F80), ROUND(Cp_Database_200!$F80 + Cp_Database_200!$G80*0.29815 + Cp_Database_200!$H80*0.08889342 + Cp_Database_200!$I80*0.02650357 + Cp_Database_200!$J80/0.08889342, 2), "-")</f>
        <v>50.5</v>
      </c>
      <c r="H80" s="15">
        <f>IF(AND(400&gt;=$E80, 400&lt;=$F80), ROUND(Cp_Database_200!$F80 + Cp_Database_200!$G80*0.4 + Cp_Database_200!$H80*0.16 + Cp_Database_200!$I80*0.064 + Cp_Database_200!$J80/0.16, 2), "-")</f>
        <v>52.39</v>
      </c>
      <c r="I80" s="15">
        <f>IF(AND(500&gt;=$E80, 500&lt;=$F80), ROUND(Cp_Database_200!$F80 + Cp_Database_200!$G80*0.5 + Cp_Database_200!$H80*0.25 + Cp_Database_200!$I80*0.125 + Cp_Database_200!$J80/0.25, 2), "-")</f>
        <v>53.9</v>
      </c>
      <c r="J80" s="15">
        <f>IF(AND(600&gt;=$E80, 600&lt;=$F80), ROUND(Cp_Database_200!$F80 + Cp_Database_200!$G80*0.6 + Cp_Database_200!$H80*0.36 + Cp_Database_200!$I80*0.216 + Cp_Database_200!$J80/0.36, 2), "-")</f>
        <v>55.46</v>
      </c>
      <c r="K80" s="15">
        <f>IF(AND(700&gt;=$E80, 700&lt;=$F80), ROUND(Cp_Database_200!$F80 + Cp_Database_200!$G80*0.7 + Cp_Database_200!$H80*0.49 + Cp_Database_200!$I80*0.343 + Cp_Database_200!$J80/0.49, 2), "-")</f>
        <v>57.24</v>
      </c>
      <c r="L80" s="15">
        <f>IF(AND(800&gt;=$E80, 800&lt;=$F80), ROUND(Cp_Database_200!$F80 + Cp_Database_200!$G80*0.8 + Cp_Database_200!$H80*0.64 + Cp_Database_200!$I80*0.512 + Cp_Database_200!$J80/0.64, 2), "-")</f>
        <v>59.34</v>
      </c>
      <c r="M80" s="15">
        <f>IF(AND(1000&gt;=$E80, 1000&lt;=$F80), ROUND(Cp_Database_200!$F80 + Cp_Database_200!$G80*1 + Cp_Database_200!$H80*1 + Cp_Database_200!$I80*1 + Cp_Database_200!$J80/1, 2), "-")</f>
        <v>64.84</v>
      </c>
      <c r="N80" s="15" t="str">
        <f>IF(AND(1200&gt;=$E80, 1200&lt;=$F80), ROUND(Cp_Database_200!$F80 + Cp_Database_200!$G80*1.2 + Cp_Database_200!$H80*1.44 + Cp_Database_200!$I80*1.728 + Cp_Database_200!$J80/1.44, 2), "-")</f>
        <v>-</v>
      </c>
      <c r="O80" s="15" t="str">
        <f>IF(AND(1500&gt;=$E80, 1500&lt;=$F80), ROUND(Cp_Database_200!$F80 + Cp_Database_200!$G80*1.5 + Cp_Database_200!$H80*2.25 + Cp_Database_200!$I80*3.375 + Cp_Database_200!$J80/2.25, 2), "-")</f>
        <v>-</v>
      </c>
      <c r="P80" s="15" t="str">
        <f>IF(AND(2000&gt;=$E80, 2000&lt;=$F80), ROUND(Cp_Database_200!$F80 + Cp_Database_200!$G80*2 + Cp_Database_200!$H80*4 + Cp_Database_200!$I80*8 + Cp_Database_200!$J80/4, 2), "-")</f>
        <v>-</v>
      </c>
    </row>
    <row r="81" spans="1:16" ht="15" x14ac:dyDescent="0.3">
      <c r="A81" s="8">
        <f>Cp_Database_200!A81</f>
        <v>80</v>
      </c>
      <c r="B81" s="9" t="str">
        <f>Cp_Database_200!B81</f>
        <v>Potassium Chloride</v>
      </c>
      <c r="C81" s="10" t="str">
        <f>Cp_Database_200!C81</f>
        <v>KCl</v>
      </c>
      <c r="D81" s="9" t="str">
        <f>Cp_Database_200!E81</f>
        <v>Halide &amp; Salt</v>
      </c>
      <c r="E81" s="12">
        <f>Cp_Database_200!K81</f>
        <v>298</v>
      </c>
      <c r="F81" s="12">
        <f>Cp_Database_200!L81</f>
        <v>900</v>
      </c>
      <c r="G81" s="16">
        <f>IF(AND(298.15&gt;=$E81, 298.15&lt;=$F81), ROUND(Cp_Database_200!$F81 + Cp_Database_200!$G81*0.29815 + Cp_Database_200!$H81*0.08889342 + Cp_Database_200!$I81*0.02650357 + Cp_Database_200!$J81/0.08889342, 2), "-")</f>
        <v>51.29</v>
      </c>
      <c r="H81" s="16">
        <f>IF(AND(400&gt;=$E81, 400&lt;=$F81), ROUND(Cp_Database_200!$F81 + Cp_Database_200!$G81*0.4 + Cp_Database_200!$H81*0.16 + Cp_Database_200!$I81*0.064 + Cp_Database_200!$J81/0.16, 2), "-")</f>
        <v>53.13</v>
      </c>
      <c r="I81" s="16">
        <f>IF(AND(500&gt;=$E81, 500&lt;=$F81), ROUND(Cp_Database_200!$F81 + Cp_Database_200!$G81*0.5 + Cp_Database_200!$H81*0.25 + Cp_Database_200!$I81*0.125 + Cp_Database_200!$J81/0.25, 2), "-")</f>
        <v>54.77</v>
      </c>
      <c r="J81" s="16">
        <f>IF(AND(600&gt;=$E81, 600&lt;=$F81), ROUND(Cp_Database_200!$F81 + Cp_Database_200!$G81*0.6 + Cp_Database_200!$H81*0.36 + Cp_Database_200!$I81*0.216 + Cp_Database_200!$J81/0.36, 2), "-")</f>
        <v>56.31</v>
      </c>
      <c r="K81" s="16">
        <f>IF(AND(700&gt;=$E81, 700&lt;=$F81), ROUND(Cp_Database_200!$F81 + Cp_Database_200!$G81*0.7 + Cp_Database_200!$H81*0.49 + Cp_Database_200!$I81*0.343 + Cp_Database_200!$J81/0.49, 2), "-")</f>
        <v>57.99</v>
      </c>
      <c r="L81" s="16">
        <f>IF(AND(800&gt;=$E81, 800&lt;=$F81), ROUND(Cp_Database_200!$F81 + Cp_Database_200!$G81*0.8 + Cp_Database_200!$H81*0.64 + Cp_Database_200!$I81*0.512 + Cp_Database_200!$J81/0.64, 2), "-")</f>
        <v>60.09</v>
      </c>
      <c r="M81" s="16" t="str">
        <f>IF(AND(1000&gt;=$E81, 1000&lt;=$F81), ROUND(Cp_Database_200!$F81 + Cp_Database_200!$G81*1 + Cp_Database_200!$H81*1 + Cp_Database_200!$I81*1 + Cp_Database_200!$J81/1, 2), "-")</f>
        <v>-</v>
      </c>
      <c r="N81" s="16" t="str">
        <f>IF(AND(1200&gt;=$E81, 1200&lt;=$F81), ROUND(Cp_Database_200!$F81 + Cp_Database_200!$G81*1.2 + Cp_Database_200!$H81*1.44 + Cp_Database_200!$I81*1.728 + Cp_Database_200!$J81/1.44, 2), "-")</f>
        <v>-</v>
      </c>
      <c r="O81" s="16" t="str">
        <f>IF(AND(1500&gt;=$E81, 1500&lt;=$F81), ROUND(Cp_Database_200!$F81 + Cp_Database_200!$G81*1.5 + Cp_Database_200!$H81*2.25 + Cp_Database_200!$I81*3.375 + Cp_Database_200!$J81/2.25, 2), "-")</f>
        <v>-</v>
      </c>
      <c r="P81" s="16" t="str">
        <f>IF(AND(2000&gt;=$E81, 2000&lt;=$F81), ROUND(Cp_Database_200!$F81 + Cp_Database_200!$G81*2 + Cp_Database_200!$H81*4 + Cp_Database_200!$I81*8 + Cp_Database_200!$J81/4, 2), "-")</f>
        <v>-</v>
      </c>
    </row>
    <row r="82" spans="1:16" ht="15" x14ac:dyDescent="0.3">
      <c r="A82" s="2">
        <f>Cp_Database_200!A82</f>
        <v>81</v>
      </c>
      <c r="B82" s="3" t="str">
        <f>Cp_Database_200!B82</f>
        <v>Lithium Fluoride</v>
      </c>
      <c r="C82" s="4" t="str">
        <f>Cp_Database_200!C82</f>
        <v>LiF</v>
      </c>
      <c r="D82" s="3" t="str">
        <f>Cp_Database_200!E82</f>
        <v>Halide &amp; Salt</v>
      </c>
      <c r="E82" s="6">
        <f>Cp_Database_200!K82</f>
        <v>298</v>
      </c>
      <c r="F82" s="6">
        <f>Cp_Database_200!L82</f>
        <v>1121.3</v>
      </c>
      <c r="G82" s="15">
        <f>IF(AND(298.15&gt;=$E82, 298.15&lt;=$F82), ROUND(Cp_Database_200!$F82 + Cp_Database_200!$G82*0.29815 + Cp_Database_200!$H82*0.08889342 + Cp_Database_200!$I82*0.02650357 + Cp_Database_200!$J82/0.08889342, 2), "-")</f>
        <v>41.89</v>
      </c>
      <c r="H82" s="15">
        <f>IF(AND(400&gt;=$E82, 400&lt;=$F82), ROUND(Cp_Database_200!$F82 + Cp_Database_200!$G82*0.4 + Cp_Database_200!$H82*0.16 + Cp_Database_200!$I82*0.064 + Cp_Database_200!$J82/0.16, 2), "-")</f>
        <v>46.25</v>
      </c>
      <c r="I82" s="15">
        <f>IF(AND(500&gt;=$E82, 500&lt;=$F82), ROUND(Cp_Database_200!$F82 + Cp_Database_200!$G82*0.5 + Cp_Database_200!$H82*0.25 + Cp_Database_200!$I82*0.125 + Cp_Database_200!$J82/0.25, 2), "-")</f>
        <v>49.22</v>
      </c>
      <c r="J82" s="15">
        <f>IF(AND(600&gt;=$E82, 600&lt;=$F82), ROUND(Cp_Database_200!$F82 + Cp_Database_200!$G82*0.6 + Cp_Database_200!$H82*0.36 + Cp_Database_200!$I82*0.216 + Cp_Database_200!$J82/0.36, 2), "-")</f>
        <v>51.67</v>
      </c>
      <c r="K82" s="15">
        <f>IF(AND(700&gt;=$E82, 700&lt;=$F82), ROUND(Cp_Database_200!$F82 + Cp_Database_200!$G82*0.7 + Cp_Database_200!$H82*0.49 + Cp_Database_200!$I82*0.343 + Cp_Database_200!$J82/0.49, 2), "-")</f>
        <v>53.86</v>
      </c>
      <c r="L82" s="15">
        <f>IF(AND(800&gt;=$E82, 800&lt;=$F82), ROUND(Cp_Database_200!$F82 + Cp_Database_200!$G82*0.8 + Cp_Database_200!$H82*0.64 + Cp_Database_200!$I82*0.512 + Cp_Database_200!$J82/0.64, 2), "-")</f>
        <v>55.9</v>
      </c>
      <c r="M82" s="15">
        <f>IF(AND(1000&gt;=$E82, 1000&lt;=$F82), ROUND(Cp_Database_200!$F82 + Cp_Database_200!$G82*1 + Cp_Database_200!$H82*1 + Cp_Database_200!$I82*1 + Cp_Database_200!$J82/1, 2), "-")</f>
        <v>59.68</v>
      </c>
      <c r="N82" s="15" t="str">
        <f>IF(AND(1200&gt;=$E82, 1200&lt;=$F82), ROUND(Cp_Database_200!$F82 + Cp_Database_200!$G82*1.2 + Cp_Database_200!$H82*1.44 + Cp_Database_200!$I82*1.728 + Cp_Database_200!$J82/1.44, 2), "-")</f>
        <v>-</v>
      </c>
      <c r="O82" s="15" t="str">
        <f>IF(AND(1500&gt;=$E82, 1500&lt;=$F82), ROUND(Cp_Database_200!$F82 + Cp_Database_200!$G82*1.5 + Cp_Database_200!$H82*2.25 + Cp_Database_200!$I82*3.375 + Cp_Database_200!$J82/2.25, 2), "-")</f>
        <v>-</v>
      </c>
      <c r="P82" s="15" t="str">
        <f>IF(AND(2000&gt;=$E82, 2000&lt;=$F82), ROUND(Cp_Database_200!$F82 + Cp_Database_200!$G82*2 + Cp_Database_200!$H82*4 + Cp_Database_200!$I82*8 + Cp_Database_200!$J82/4, 2), "-")</f>
        <v>-</v>
      </c>
    </row>
    <row r="83" spans="1:16" ht="15" x14ac:dyDescent="0.3">
      <c r="A83" s="8">
        <f>Cp_Database_200!A83</f>
        <v>82</v>
      </c>
      <c r="B83" s="9" t="str">
        <f>Cp_Database_200!B83</f>
        <v>Sodium Fluoride</v>
      </c>
      <c r="C83" s="10" t="str">
        <f>Cp_Database_200!C83</f>
        <v>NaF</v>
      </c>
      <c r="D83" s="9" t="str">
        <f>Cp_Database_200!E83</f>
        <v>Halide &amp; Salt</v>
      </c>
      <c r="E83" s="12">
        <f>Cp_Database_200!K83</f>
        <v>298</v>
      </c>
      <c r="F83" s="12">
        <f>Cp_Database_200!L83</f>
        <v>1269</v>
      </c>
      <c r="G83" s="16">
        <f>IF(AND(298.15&gt;=$E83, 298.15&lt;=$F83), ROUND(Cp_Database_200!$F83 + Cp_Database_200!$G83*0.29815 + Cp_Database_200!$H83*0.08889342 + Cp_Database_200!$I83*0.02650357 + Cp_Database_200!$J83/0.08889342, 2), "-")</f>
        <v>46.85</v>
      </c>
      <c r="H83" s="16">
        <f>IF(AND(400&gt;=$E83, 400&lt;=$F83), ROUND(Cp_Database_200!$F83 + Cp_Database_200!$G83*0.4 + Cp_Database_200!$H83*0.16 + Cp_Database_200!$I83*0.064 + Cp_Database_200!$J83/0.16, 2), "-")</f>
        <v>49.6</v>
      </c>
      <c r="I83" s="16">
        <f>IF(AND(500&gt;=$E83, 500&lt;=$F83), ROUND(Cp_Database_200!$F83 + Cp_Database_200!$G83*0.5 + Cp_Database_200!$H83*0.25 + Cp_Database_200!$I83*0.125 + Cp_Database_200!$J83/0.25, 2), "-")</f>
        <v>51.26</v>
      </c>
      <c r="J83" s="16">
        <f>IF(AND(600&gt;=$E83, 600&lt;=$F83), ROUND(Cp_Database_200!$F83 + Cp_Database_200!$G83*0.6 + Cp_Database_200!$H83*0.36 + Cp_Database_200!$I83*0.216 + Cp_Database_200!$J83/0.36, 2), "-")</f>
        <v>52.68</v>
      </c>
      <c r="K83" s="16">
        <f>IF(AND(700&gt;=$E83, 700&lt;=$F83), ROUND(Cp_Database_200!$F83 + Cp_Database_200!$G83*0.7 + Cp_Database_200!$H83*0.49 + Cp_Database_200!$I83*0.343 + Cp_Database_200!$J83/0.49, 2), "-")</f>
        <v>54.12</v>
      </c>
      <c r="L83" s="16">
        <f>IF(AND(800&gt;=$E83, 800&lt;=$F83), ROUND(Cp_Database_200!$F83 + Cp_Database_200!$G83*0.8 + Cp_Database_200!$H83*0.64 + Cp_Database_200!$I83*0.512 + Cp_Database_200!$J83/0.64, 2), "-")</f>
        <v>55.71</v>
      </c>
      <c r="M83" s="16">
        <f>IF(AND(1000&gt;=$E83, 1000&lt;=$F83), ROUND(Cp_Database_200!$F83 + Cp_Database_200!$G83*1 + Cp_Database_200!$H83*1 + Cp_Database_200!$I83*1 + Cp_Database_200!$J83/1, 2), "-")</f>
        <v>59.5</v>
      </c>
      <c r="N83" s="16">
        <f>IF(AND(1200&gt;=$E83, 1200&lt;=$F83), ROUND(Cp_Database_200!$F83 + Cp_Database_200!$G83*1.2 + Cp_Database_200!$H83*1.44 + Cp_Database_200!$I83*1.728 + Cp_Database_200!$J83/1.44, 2), "-")</f>
        <v>64.260000000000005</v>
      </c>
      <c r="O83" s="16" t="str">
        <f>IF(AND(1500&gt;=$E83, 1500&lt;=$F83), ROUND(Cp_Database_200!$F83 + Cp_Database_200!$G83*1.5 + Cp_Database_200!$H83*2.25 + Cp_Database_200!$I83*3.375 + Cp_Database_200!$J83/2.25, 2), "-")</f>
        <v>-</v>
      </c>
      <c r="P83" s="16" t="str">
        <f>IF(AND(2000&gt;=$E83, 2000&lt;=$F83), ROUND(Cp_Database_200!$F83 + Cp_Database_200!$G83*2 + Cp_Database_200!$H83*4 + Cp_Database_200!$I83*8 + Cp_Database_200!$J83/4, 2), "-")</f>
        <v>-</v>
      </c>
    </row>
    <row r="84" spans="1:16" ht="15" x14ac:dyDescent="0.3">
      <c r="A84" s="2">
        <f>Cp_Database_200!A84</f>
        <v>83</v>
      </c>
      <c r="B84" s="3" t="str">
        <f>Cp_Database_200!B84</f>
        <v>Potassium Fluoride</v>
      </c>
      <c r="C84" s="4" t="str">
        <f>Cp_Database_200!C84</f>
        <v>KF</v>
      </c>
      <c r="D84" s="3" t="str">
        <f>Cp_Database_200!E84</f>
        <v>Halide &amp; Salt</v>
      </c>
      <c r="E84" s="6">
        <f>Cp_Database_200!K84</f>
        <v>298</v>
      </c>
      <c r="F84" s="6">
        <f>Cp_Database_200!L84</f>
        <v>900</v>
      </c>
      <c r="G84" s="15">
        <f>IF(AND(298.15&gt;=$E84, 298.15&lt;=$F84), ROUND(Cp_Database_200!$F84 + Cp_Database_200!$G84*0.29815 + Cp_Database_200!$H84*0.08889342 + Cp_Database_200!$I84*0.02650357 + Cp_Database_200!$J84/0.08889342, 2), "-")</f>
        <v>48.98</v>
      </c>
      <c r="H84" s="15">
        <f>IF(AND(400&gt;=$E84, 400&lt;=$F84), ROUND(Cp_Database_200!$F84 + Cp_Database_200!$G84*0.4 + Cp_Database_200!$H84*0.16 + Cp_Database_200!$I84*0.064 + Cp_Database_200!$J84/0.16, 2), "-")</f>
        <v>51.04</v>
      </c>
      <c r="I84" s="15">
        <f>IF(AND(500&gt;=$E84, 500&lt;=$F84), ROUND(Cp_Database_200!$F84 + Cp_Database_200!$G84*0.5 + Cp_Database_200!$H84*0.25 + Cp_Database_200!$I84*0.125 + Cp_Database_200!$J84/0.25, 2), "-")</f>
        <v>52.72</v>
      </c>
      <c r="J84" s="15">
        <f>IF(AND(600&gt;=$E84, 600&lt;=$F84), ROUND(Cp_Database_200!$F84 + Cp_Database_200!$G84*0.6 + Cp_Database_200!$H84*0.36 + Cp_Database_200!$I84*0.216 + Cp_Database_200!$J84/0.36, 2), "-")</f>
        <v>54.28</v>
      </c>
      <c r="K84" s="15">
        <f>IF(AND(700&gt;=$E84, 700&lt;=$F84), ROUND(Cp_Database_200!$F84 + Cp_Database_200!$G84*0.7 + Cp_Database_200!$H84*0.49 + Cp_Database_200!$I84*0.343 + Cp_Database_200!$J84/0.49, 2), "-")</f>
        <v>55.83</v>
      </c>
      <c r="L84" s="15">
        <f>IF(AND(800&gt;=$E84, 800&lt;=$F84), ROUND(Cp_Database_200!$F84 + Cp_Database_200!$G84*0.8 + Cp_Database_200!$H84*0.64 + Cp_Database_200!$I84*0.512 + Cp_Database_200!$J84/0.64, 2), "-")</f>
        <v>57.42</v>
      </c>
      <c r="M84" s="15" t="str">
        <f>IF(AND(1000&gt;=$E84, 1000&lt;=$F84), ROUND(Cp_Database_200!$F84 + Cp_Database_200!$G84*1 + Cp_Database_200!$H84*1 + Cp_Database_200!$I84*1 + Cp_Database_200!$J84/1, 2), "-")</f>
        <v>-</v>
      </c>
      <c r="N84" s="15" t="str">
        <f>IF(AND(1200&gt;=$E84, 1200&lt;=$F84), ROUND(Cp_Database_200!$F84 + Cp_Database_200!$G84*1.2 + Cp_Database_200!$H84*1.44 + Cp_Database_200!$I84*1.728 + Cp_Database_200!$J84/1.44, 2), "-")</f>
        <v>-</v>
      </c>
      <c r="O84" s="15" t="str">
        <f>IF(AND(1500&gt;=$E84, 1500&lt;=$F84), ROUND(Cp_Database_200!$F84 + Cp_Database_200!$G84*1.5 + Cp_Database_200!$H84*2.25 + Cp_Database_200!$I84*3.375 + Cp_Database_200!$J84/2.25, 2), "-")</f>
        <v>-</v>
      </c>
      <c r="P84" s="15" t="str">
        <f>IF(AND(2000&gt;=$E84, 2000&lt;=$F84), ROUND(Cp_Database_200!$F84 + Cp_Database_200!$G84*2 + Cp_Database_200!$H84*4 + Cp_Database_200!$I84*8 + Cp_Database_200!$J84/4, 2), "-")</f>
        <v>-</v>
      </c>
    </row>
    <row r="85" spans="1:16" ht="15" x14ac:dyDescent="0.3">
      <c r="A85" s="8">
        <f>Cp_Database_200!A85</f>
        <v>84</v>
      </c>
      <c r="B85" s="9" t="str">
        <f>Cp_Database_200!B85</f>
        <v>Calcium Fluoride</v>
      </c>
      <c r="C85" s="10" t="str">
        <f>Cp_Database_200!C85</f>
        <v>CaF2</v>
      </c>
      <c r="D85" s="9" t="str">
        <f>Cp_Database_200!E85</f>
        <v>Halide &amp; Salt</v>
      </c>
      <c r="E85" s="12">
        <f>Cp_Database_200!K85</f>
        <v>298</v>
      </c>
      <c r="F85" s="12">
        <f>Cp_Database_200!L85</f>
        <v>1424</v>
      </c>
      <c r="G85" s="16">
        <f>IF(AND(298.15&gt;=$E85, 298.15&lt;=$F85), ROUND(Cp_Database_200!$F85 + Cp_Database_200!$G85*0.29815 + Cp_Database_200!$H85*0.08889342 + Cp_Database_200!$I85*0.02650357 + Cp_Database_200!$J85/0.08889342, 2), "-")</f>
        <v>68.64</v>
      </c>
      <c r="H85" s="16">
        <f>IF(AND(400&gt;=$E85, 400&lt;=$F85), ROUND(Cp_Database_200!$F85 + Cp_Database_200!$G85*0.4 + Cp_Database_200!$H85*0.16 + Cp_Database_200!$I85*0.064 + Cp_Database_200!$J85/0.16, 2), "-")</f>
        <v>73.62</v>
      </c>
      <c r="I85" s="16">
        <f>IF(AND(500&gt;=$E85, 500&lt;=$F85), ROUND(Cp_Database_200!$F85 + Cp_Database_200!$G85*0.5 + Cp_Database_200!$H85*0.25 + Cp_Database_200!$I85*0.125 + Cp_Database_200!$J85/0.25, 2), "-")</f>
        <v>76.349999999999994</v>
      </c>
      <c r="J85" s="16">
        <f>IF(AND(600&gt;=$E85, 600&lt;=$F85), ROUND(Cp_Database_200!$F85 + Cp_Database_200!$G85*0.6 + Cp_Database_200!$H85*0.36 + Cp_Database_200!$I85*0.216 + Cp_Database_200!$J85/0.36, 2), "-")</f>
        <v>78.69</v>
      </c>
      <c r="K85" s="16">
        <f>IF(AND(700&gt;=$E85, 700&lt;=$F85), ROUND(Cp_Database_200!$F85 + Cp_Database_200!$G85*0.7 + Cp_Database_200!$H85*0.49 + Cp_Database_200!$I85*0.343 + Cp_Database_200!$J85/0.49, 2), "-")</f>
        <v>81.13</v>
      </c>
      <c r="L85" s="16">
        <f>IF(AND(800&gt;=$E85, 800&lt;=$F85), ROUND(Cp_Database_200!$F85 + Cp_Database_200!$G85*0.8 + Cp_Database_200!$H85*0.64 + Cp_Database_200!$I85*0.512 + Cp_Database_200!$J85/0.64, 2), "-")</f>
        <v>83.84</v>
      </c>
      <c r="M85" s="16">
        <f>IF(AND(1000&gt;=$E85, 1000&lt;=$F85), ROUND(Cp_Database_200!$F85 + Cp_Database_200!$G85*1 + Cp_Database_200!$H85*1 + Cp_Database_200!$I85*1 + Cp_Database_200!$J85/1, 2), "-")</f>
        <v>90.04</v>
      </c>
      <c r="N85" s="16">
        <f>IF(AND(1200&gt;=$E85, 1200&lt;=$F85), ROUND(Cp_Database_200!$F85 + Cp_Database_200!$G85*1.2 + Cp_Database_200!$H85*1.44 + Cp_Database_200!$I85*1.728 + Cp_Database_200!$J85/1.44, 2), "-")</f>
        <v>96.88</v>
      </c>
      <c r="O85" s="16" t="str">
        <f>IF(AND(1500&gt;=$E85, 1500&lt;=$F85), ROUND(Cp_Database_200!$F85 + Cp_Database_200!$G85*1.5 + Cp_Database_200!$H85*2.25 + Cp_Database_200!$I85*3.375 + Cp_Database_200!$J85/2.25, 2), "-")</f>
        <v>-</v>
      </c>
      <c r="P85" s="16" t="str">
        <f>IF(AND(2000&gt;=$E85, 2000&lt;=$F85), ROUND(Cp_Database_200!$F85 + Cp_Database_200!$G85*2 + Cp_Database_200!$H85*4 + Cp_Database_200!$I85*8 + Cp_Database_200!$J85/4, 2), "-")</f>
        <v>-</v>
      </c>
    </row>
    <row r="86" spans="1:16" ht="15" x14ac:dyDescent="0.3">
      <c r="A86" s="2">
        <f>Cp_Database_200!A86</f>
        <v>85</v>
      </c>
      <c r="B86" s="3" t="str">
        <f>Cp_Database_200!B86</f>
        <v>Magnesium Fluoride</v>
      </c>
      <c r="C86" s="4" t="str">
        <f>Cp_Database_200!C86</f>
        <v>MgF2</v>
      </c>
      <c r="D86" s="3" t="str">
        <f>Cp_Database_200!E86</f>
        <v>Halide &amp; Salt</v>
      </c>
      <c r="E86" s="6">
        <f>Cp_Database_200!K86</f>
        <v>298</v>
      </c>
      <c r="F86" s="6">
        <f>Cp_Database_200!L86</f>
        <v>1536</v>
      </c>
      <c r="G86" s="15">
        <f>IF(AND(298.15&gt;=$E86, 298.15&lt;=$F86), ROUND(Cp_Database_200!$F86 + Cp_Database_200!$G86*0.29815 + Cp_Database_200!$H86*0.08889342 + Cp_Database_200!$I86*0.02650357 + Cp_Database_200!$J86/0.08889342, 2), "-")</f>
        <v>61.48</v>
      </c>
      <c r="H86" s="15">
        <f>IF(AND(400&gt;=$E86, 400&lt;=$F86), ROUND(Cp_Database_200!$F86 + Cp_Database_200!$G86*0.4 + Cp_Database_200!$H86*0.16 + Cp_Database_200!$I86*0.064 + Cp_Database_200!$J86/0.16, 2), "-")</f>
        <v>68.73</v>
      </c>
      <c r="I86" s="15">
        <f>IF(AND(500&gt;=$E86, 500&lt;=$F86), ROUND(Cp_Database_200!$F86 + Cp_Database_200!$G86*0.5 + Cp_Database_200!$H86*0.25 + Cp_Database_200!$I86*0.125 + Cp_Database_200!$J86/0.25, 2), "-")</f>
        <v>72.63</v>
      </c>
      <c r="J86" s="15">
        <f>IF(AND(600&gt;=$E86, 600&lt;=$F86), ROUND(Cp_Database_200!$F86 + Cp_Database_200!$G86*0.6 + Cp_Database_200!$H86*0.36 + Cp_Database_200!$I86*0.216 + Cp_Database_200!$J86/0.36, 2), "-")</f>
        <v>75.2</v>
      </c>
      <c r="K86" s="15">
        <f>IF(AND(700&gt;=$E86, 700&lt;=$F86), ROUND(Cp_Database_200!$F86 + Cp_Database_200!$G86*0.7 + Cp_Database_200!$H86*0.49 + Cp_Database_200!$I86*0.343 + Cp_Database_200!$J86/0.49, 2), "-")</f>
        <v>77.05</v>
      </c>
      <c r="L86" s="15">
        <f>IF(AND(800&gt;=$E86, 800&lt;=$F86), ROUND(Cp_Database_200!$F86 + Cp_Database_200!$G86*0.8 + Cp_Database_200!$H86*0.64 + Cp_Database_200!$I86*0.512 + Cp_Database_200!$J86/0.64, 2), "-")</f>
        <v>78.48</v>
      </c>
      <c r="M86" s="15">
        <f>IF(AND(1000&gt;=$E86, 1000&lt;=$F86), ROUND(Cp_Database_200!$F86 + Cp_Database_200!$G86*1 + Cp_Database_200!$H86*1 + Cp_Database_200!$I86*1 + Cp_Database_200!$J86/1, 2), "-")</f>
        <v>80.55</v>
      </c>
      <c r="N86" s="15">
        <f>IF(AND(1200&gt;=$E86, 1200&lt;=$F86), ROUND(Cp_Database_200!$F86 + Cp_Database_200!$G86*1.2 + Cp_Database_200!$H86*1.44 + Cp_Database_200!$I86*1.728 + Cp_Database_200!$J86/1.44, 2), "-")</f>
        <v>81.96</v>
      </c>
      <c r="O86" s="15">
        <f>IF(AND(1500&gt;=$E86, 1500&lt;=$F86), ROUND(Cp_Database_200!$F86 + Cp_Database_200!$G86*1.5 + Cp_Database_200!$H86*2.25 + Cp_Database_200!$I86*3.375 + Cp_Database_200!$J86/2.25, 2), "-")</f>
        <v>83.45</v>
      </c>
      <c r="P86" s="15" t="str">
        <f>IF(AND(2000&gt;=$E86, 2000&lt;=$F86), ROUND(Cp_Database_200!$F86 + Cp_Database_200!$G86*2 + Cp_Database_200!$H86*4 + Cp_Database_200!$I86*8 + Cp_Database_200!$J86/4, 2), "-")</f>
        <v>-</v>
      </c>
    </row>
    <row r="87" spans="1:16" ht="15" x14ac:dyDescent="0.3">
      <c r="A87" s="8">
        <f>Cp_Database_200!A87</f>
        <v>86</v>
      </c>
      <c r="B87" s="9" t="str">
        <f>Cp_Database_200!B87</f>
        <v>Barium Fluoride</v>
      </c>
      <c r="C87" s="10" t="str">
        <f>Cp_Database_200!C87</f>
        <v>BaF2</v>
      </c>
      <c r="D87" s="9" t="str">
        <f>Cp_Database_200!E87</f>
        <v>Halide &amp; Salt</v>
      </c>
      <c r="E87" s="12">
        <f>Cp_Database_200!K87</f>
        <v>298</v>
      </c>
      <c r="F87" s="12">
        <f>Cp_Database_200!L87</f>
        <v>900</v>
      </c>
      <c r="G87" s="16">
        <f>IF(AND(298.15&gt;=$E87, 298.15&lt;=$F87), ROUND(Cp_Database_200!$F87 + Cp_Database_200!$G87*0.29815 + Cp_Database_200!$H87*0.08889342 + Cp_Database_200!$I87*0.02650357 + Cp_Database_200!$J87/0.08889342, 2), "-")</f>
        <v>72.209999999999994</v>
      </c>
      <c r="H87" s="16">
        <f>IF(AND(400&gt;=$E87, 400&lt;=$F87), ROUND(Cp_Database_200!$F87 + Cp_Database_200!$G87*0.4 + Cp_Database_200!$H87*0.16 + Cp_Database_200!$I87*0.064 + Cp_Database_200!$J87/0.16, 2), "-")</f>
        <v>75.94</v>
      </c>
      <c r="I87" s="16">
        <f>IF(AND(500&gt;=$E87, 500&lt;=$F87), ROUND(Cp_Database_200!$F87 + Cp_Database_200!$G87*0.5 + Cp_Database_200!$H87*0.25 + Cp_Database_200!$I87*0.125 + Cp_Database_200!$J87/0.25, 2), "-")</f>
        <v>78.42</v>
      </c>
      <c r="J87" s="16">
        <f>IF(AND(600&gt;=$E87, 600&lt;=$F87), ROUND(Cp_Database_200!$F87 + Cp_Database_200!$G87*0.6 + Cp_Database_200!$H87*0.36 + Cp_Database_200!$I87*0.216 + Cp_Database_200!$J87/0.36, 2), "-")</f>
        <v>80.36</v>
      </c>
      <c r="K87" s="16">
        <f>IF(AND(700&gt;=$E87, 700&lt;=$F87), ROUND(Cp_Database_200!$F87 + Cp_Database_200!$G87*0.7 + Cp_Database_200!$H87*0.49 + Cp_Database_200!$I87*0.343 + Cp_Database_200!$J87/0.49, 2), "-")</f>
        <v>82.35</v>
      </c>
      <c r="L87" s="16">
        <f>IF(AND(800&gt;=$E87, 800&lt;=$F87), ROUND(Cp_Database_200!$F87 + Cp_Database_200!$G87*0.8 + Cp_Database_200!$H87*0.64 + Cp_Database_200!$I87*0.512 + Cp_Database_200!$J87/0.64, 2), "-")</f>
        <v>84.94</v>
      </c>
      <c r="M87" s="16" t="str">
        <f>IF(AND(1000&gt;=$E87, 1000&lt;=$F87), ROUND(Cp_Database_200!$F87 + Cp_Database_200!$G87*1 + Cp_Database_200!$H87*1 + Cp_Database_200!$I87*1 + Cp_Database_200!$J87/1, 2), "-")</f>
        <v>-</v>
      </c>
      <c r="N87" s="16" t="str">
        <f>IF(AND(1200&gt;=$E87, 1200&lt;=$F87), ROUND(Cp_Database_200!$F87 + Cp_Database_200!$G87*1.2 + Cp_Database_200!$H87*1.44 + Cp_Database_200!$I87*1.728 + Cp_Database_200!$J87/1.44, 2), "-")</f>
        <v>-</v>
      </c>
      <c r="O87" s="16" t="str">
        <f>IF(AND(1500&gt;=$E87, 1500&lt;=$F87), ROUND(Cp_Database_200!$F87 + Cp_Database_200!$G87*1.5 + Cp_Database_200!$H87*2.25 + Cp_Database_200!$I87*3.375 + Cp_Database_200!$J87/2.25, 2), "-")</f>
        <v>-</v>
      </c>
      <c r="P87" s="16" t="str">
        <f>IF(AND(2000&gt;=$E87, 2000&lt;=$F87), ROUND(Cp_Database_200!$F87 + Cp_Database_200!$G87*2 + Cp_Database_200!$H87*4 + Cp_Database_200!$I87*8 + Cp_Database_200!$J87/4, 2), "-")</f>
        <v>-</v>
      </c>
    </row>
    <row r="88" spans="1:16" ht="15" x14ac:dyDescent="0.3">
      <c r="A88" s="2">
        <f>Cp_Database_200!A88</f>
        <v>87</v>
      </c>
      <c r="B88" s="3" t="str">
        <f>Cp_Database_200!B88</f>
        <v>Strontium Fluoride</v>
      </c>
      <c r="C88" s="4" t="str">
        <f>Cp_Database_200!C88</f>
        <v>SrF2</v>
      </c>
      <c r="D88" s="3" t="str">
        <f>Cp_Database_200!E88</f>
        <v>Halide &amp; Salt</v>
      </c>
      <c r="E88" s="6">
        <f>Cp_Database_200!K88</f>
        <v>298</v>
      </c>
      <c r="F88" s="6">
        <f>Cp_Database_200!L88</f>
        <v>1000</v>
      </c>
      <c r="G88" s="15">
        <f>IF(AND(298.15&gt;=$E88, 298.15&lt;=$F88), ROUND(Cp_Database_200!$F88 + Cp_Database_200!$G88*0.29815 + Cp_Database_200!$H88*0.08889342 + Cp_Database_200!$I88*0.02650357 + Cp_Database_200!$J88/0.08889342, 2), "-")</f>
        <v>70.03</v>
      </c>
      <c r="H88" s="15">
        <f>IF(AND(400&gt;=$E88, 400&lt;=$F88), ROUND(Cp_Database_200!$F88 + Cp_Database_200!$G88*0.4 + Cp_Database_200!$H88*0.16 + Cp_Database_200!$I88*0.064 + Cp_Database_200!$J88/0.16, 2), "-")</f>
        <v>74.63</v>
      </c>
      <c r="I88" s="15">
        <f>IF(AND(500&gt;=$E88, 500&lt;=$F88), ROUND(Cp_Database_200!$F88 + Cp_Database_200!$G88*0.5 + Cp_Database_200!$H88*0.25 + Cp_Database_200!$I88*0.125 + Cp_Database_200!$J88/0.25, 2), "-")</f>
        <v>77.36</v>
      </c>
      <c r="J88" s="15">
        <f>IF(AND(600&gt;=$E88, 600&lt;=$F88), ROUND(Cp_Database_200!$F88 + Cp_Database_200!$G88*0.6 + Cp_Database_200!$H88*0.36 + Cp_Database_200!$I88*0.216 + Cp_Database_200!$J88/0.36, 2), "-")</f>
        <v>78.87</v>
      </c>
      <c r="K88" s="15">
        <f>IF(AND(700&gt;=$E88, 700&lt;=$F88), ROUND(Cp_Database_200!$F88 + Cp_Database_200!$G88*0.7 + Cp_Database_200!$H88*0.49 + Cp_Database_200!$I88*0.343 + Cp_Database_200!$J88/0.49, 2), "-")</f>
        <v>79.81</v>
      </c>
      <c r="L88" s="15">
        <f>IF(AND(800&gt;=$E88, 800&lt;=$F88), ROUND(Cp_Database_200!$F88 + Cp_Database_200!$G88*0.8 + Cp_Database_200!$H88*0.64 + Cp_Database_200!$I88*0.512 + Cp_Database_200!$J88/0.64, 2), "-")</f>
        <v>80.81</v>
      </c>
      <c r="M88" s="15">
        <f>IF(AND(1000&gt;=$E88, 1000&lt;=$F88), ROUND(Cp_Database_200!$F88 + Cp_Database_200!$G88*1 + Cp_Database_200!$H88*1 + Cp_Database_200!$I88*1 + Cp_Database_200!$J88/1, 2), "-")</f>
        <v>85.68</v>
      </c>
      <c r="N88" s="15" t="str">
        <f>IF(AND(1200&gt;=$E88, 1200&lt;=$F88), ROUND(Cp_Database_200!$F88 + Cp_Database_200!$G88*1.2 + Cp_Database_200!$H88*1.44 + Cp_Database_200!$I88*1.728 + Cp_Database_200!$J88/1.44, 2), "-")</f>
        <v>-</v>
      </c>
      <c r="O88" s="15" t="str">
        <f>IF(AND(1500&gt;=$E88, 1500&lt;=$F88), ROUND(Cp_Database_200!$F88 + Cp_Database_200!$G88*1.5 + Cp_Database_200!$H88*2.25 + Cp_Database_200!$I88*3.375 + Cp_Database_200!$J88/2.25, 2), "-")</f>
        <v>-</v>
      </c>
      <c r="P88" s="15" t="str">
        <f>IF(AND(2000&gt;=$E88, 2000&lt;=$F88), ROUND(Cp_Database_200!$F88 + Cp_Database_200!$G88*2 + Cp_Database_200!$H88*4 + Cp_Database_200!$I88*8 + Cp_Database_200!$J88/4, 2), "-")</f>
        <v>-</v>
      </c>
    </row>
    <row r="89" spans="1:16" ht="15" x14ac:dyDescent="0.3">
      <c r="A89" s="8">
        <f>Cp_Database_200!A89</f>
        <v>88</v>
      </c>
      <c r="B89" s="9" t="str">
        <f>Cp_Database_200!B89</f>
        <v>Cesium Chloride</v>
      </c>
      <c r="C89" s="10" t="str">
        <f>Cp_Database_200!C89</f>
        <v>CsCl</v>
      </c>
      <c r="D89" s="9" t="str">
        <f>Cp_Database_200!E89</f>
        <v>Halide &amp; Salt</v>
      </c>
      <c r="E89" s="12">
        <f>Cp_Database_200!K89</f>
        <v>298</v>
      </c>
      <c r="F89" s="12">
        <f>Cp_Database_200!L89</f>
        <v>743</v>
      </c>
      <c r="G89" s="16">
        <f>IF(AND(298.15&gt;=$E89, 298.15&lt;=$F89), ROUND(Cp_Database_200!$F89 + Cp_Database_200!$G89*0.29815 + Cp_Database_200!$H89*0.08889342 + Cp_Database_200!$I89*0.02650357 + Cp_Database_200!$J89/0.08889342, 2), "-")</f>
        <v>52.44</v>
      </c>
      <c r="H89" s="16">
        <f>IF(AND(400&gt;=$E89, 400&lt;=$F89), ROUND(Cp_Database_200!$F89 + Cp_Database_200!$G89*0.4 + Cp_Database_200!$H89*0.16 + Cp_Database_200!$I89*0.064 + Cp_Database_200!$J89/0.16, 2), "-")</f>
        <v>54.68</v>
      </c>
      <c r="I89" s="16">
        <f>IF(AND(500&gt;=$E89, 500&lt;=$F89), ROUND(Cp_Database_200!$F89 + Cp_Database_200!$G89*0.5 + Cp_Database_200!$H89*0.25 + Cp_Database_200!$I89*0.125 + Cp_Database_200!$J89/0.25, 2), "-")</f>
        <v>56.9</v>
      </c>
      <c r="J89" s="16">
        <f>IF(AND(600&gt;=$E89, 600&lt;=$F89), ROUND(Cp_Database_200!$F89 + Cp_Database_200!$G89*0.6 + Cp_Database_200!$H89*0.36 + Cp_Database_200!$I89*0.216 + Cp_Database_200!$J89/0.36, 2), "-")</f>
        <v>59.1</v>
      </c>
      <c r="K89" s="16">
        <f>IF(AND(700&gt;=$E89, 700&lt;=$F89), ROUND(Cp_Database_200!$F89 + Cp_Database_200!$G89*0.7 + Cp_Database_200!$H89*0.49 + Cp_Database_200!$I89*0.343 + Cp_Database_200!$J89/0.49, 2), "-")</f>
        <v>61.29</v>
      </c>
      <c r="L89" s="16" t="str">
        <f>IF(AND(800&gt;=$E89, 800&lt;=$F89), ROUND(Cp_Database_200!$F89 + Cp_Database_200!$G89*0.8 + Cp_Database_200!$H89*0.64 + Cp_Database_200!$I89*0.512 + Cp_Database_200!$J89/0.64, 2), "-")</f>
        <v>-</v>
      </c>
      <c r="M89" s="16" t="str">
        <f>IF(AND(1000&gt;=$E89, 1000&lt;=$F89), ROUND(Cp_Database_200!$F89 + Cp_Database_200!$G89*1 + Cp_Database_200!$H89*1 + Cp_Database_200!$I89*1 + Cp_Database_200!$J89/1, 2), "-")</f>
        <v>-</v>
      </c>
      <c r="N89" s="16" t="str">
        <f>IF(AND(1200&gt;=$E89, 1200&lt;=$F89), ROUND(Cp_Database_200!$F89 + Cp_Database_200!$G89*1.2 + Cp_Database_200!$H89*1.44 + Cp_Database_200!$I89*1.728 + Cp_Database_200!$J89/1.44, 2), "-")</f>
        <v>-</v>
      </c>
      <c r="O89" s="16" t="str">
        <f>IF(AND(1500&gt;=$E89, 1500&lt;=$F89), ROUND(Cp_Database_200!$F89 + Cp_Database_200!$G89*1.5 + Cp_Database_200!$H89*2.25 + Cp_Database_200!$I89*3.375 + Cp_Database_200!$J89/2.25, 2), "-")</f>
        <v>-</v>
      </c>
      <c r="P89" s="16" t="str">
        <f>IF(AND(2000&gt;=$E89, 2000&lt;=$F89), ROUND(Cp_Database_200!$F89 + Cp_Database_200!$G89*2 + Cp_Database_200!$H89*4 + Cp_Database_200!$I89*8 + Cp_Database_200!$J89/4, 2), "-")</f>
        <v>-</v>
      </c>
    </row>
    <row r="90" spans="1:16" ht="15" x14ac:dyDescent="0.3">
      <c r="A90" s="2">
        <f>Cp_Database_200!A90</f>
        <v>89</v>
      </c>
      <c r="B90" s="3" t="str">
        <f>Cp_Database_200!B90</f>
        <v>Potassium Bromide</v>
      </c>
      <c r="C90" s="4" t="str">
        <f>Cp_Database_200!C90</f>
        <v>KBr</v>
      </c>
      <c r="D90" s="3" t="str">
        <f>Cp_Database_200!E90</f>
        <v>Halide &amp; Salt</v>
      </c>
      <c r="E90" s="6">
        <f>Cp_Database_200!K90</f>
        <v>298</v>
      </c>
      <c r="F90" s="6">
        <f>Cp_Database_200!L90</f>
        <v>900</v>
      </c>
      <c r="G90" s="15">
        <f>IF(AND(298.15&gt;=$E90, 298.15&lt;=$F90), ROUND(Cp_Database_200!$F90 + Cp_Database_200!$G90*0.29815 + Cp_Database_200!$H90*0.08889342 + Cp_Database_200!$I90*0.02650357 + Cp_Database_200!$J90/0.08889342, 2), "-")</f>
        <v>52.32</v>
      </c>
      <c r="H90" s="15">
        <f>IF(AND(400&gt;=$E90, 400&lt;=$F90), ROUND(Cp_Database_200!$F90 + Cp_Database_200!$G90*0.4 + Cp_Database_200!$H90*0.16 + Cp_Database_200!$I90*0.064 + Cp_Database_200!$J90/0.16, 2), "-")</f>
        <v>53.85</v>
      </c>
      <c r="I90" s="15">
        <f>IF(AND(500&gt;=$E90, 500&lt;=$F90), ROUND(Cp_Database_200!$F90 + Cp_Database_200!$G90*0.5 + Cp_Database_200!$H90*0.25 + Cp_Database_200!$I90*0.125 + Cp_Database_200!$J90/0.25, 2), "-")</f>
        <v>55.14</v>
      </c>
      <c r="J90" s="15">
        <f>IF(AND(600&gt;=$E90, 600&lt;=$F90), ROUND(Cp_Database_200!$F90 + Cp_Database_200!$G90*0.6 + Cp_Database_200!$H90*0.36 + Cp_Database_200!$I90*0.216 + Cp_Database_200!$J90/0.36, 2), "-")</f>
        <v>56.45</v>
      </c>
      <c r="K90" s="15">
        <f>IF(AND(700&gt;=$E90, 700&lt;=$F90), ROUND(Cp_Database_200!$F90 + Cp_Database_200!$G90*0.7 + Cp_Database_200!$H90*0.49 + Cp_Database_200!$I90*0.343 + Cp_Database_200!$J90/0.49, 2), "-")</f>
        <v>58.08</v>
      </c>
      <c r="L90" s="15">
        <f>IF(AND(800&gt;=$E90, 800&lt;=$F90), ROUND(Cp_Database_200!$F90 + Cp_Database_200!$G90*0.8 + Cp_Database_200!$H90*0.64 + Cp_Database_200!$I90*0.512 + Cp_Database_200!$J90/0.64, 2), "-")</f>
        <v>60.38</v>
      </c>
      <c r="M90" s="15" t="str">
        <f>IF(AND(1000&gt;=$E90, 1000&lt;=$F90), ROUND(Cp_Database_200!$F90 + Cp_Database_200!$G90*1 + Cp_Database_200!$H90*1 + Cp_Database_200!$I90*1 + Cp_Database_200!$J90/1, 2), "-")</f>
        <v>-</v>
      </c>
      <c r="N90" s="15" t="str">
        <f>IF(AND(1200&gt;=$E90, 1200&lt;=$F90), ROUND(Cp_Database_200!$F90 + Cp_Database_200!$G90*1.2 + Cp_Database_200!$H90*1.44 + Cp_Database_200!$I90*1.728 + Cp_Database_200!$J90/1.44, 2), "-")</f>
        <v>-</v>
      </c>
      <c r="O90" s="15" t="str">
        <f>IF(AND(1500&gt;=$E90, 1500&lt;=$F90), ROUND(Cp_Database_200!$F90 + Cp_Database_200!$G90*1.5 + Cp_Database_200!$H90*2.25 + Cp_Database_200!$I90*3.375 + Cp_Database_200!$J90/2.25, 2), "-")</f>
        <v>-</v>
      </c>
      <c r="P90" s="15" t="str">
        <f>IF(AND(2000&gt;=$E90, 2000&lt;=$F90), ROUND(Cp_Database_200!$F90 + Cp_Database_200!$G90*2 + Cp_Database_200!$H90*4 + Cp_Database_200!$I90*8 + Cp_Database_200!$J90/4, 2), "-")</f>
        <v>-</v>
      </c>
    </row>
    <row r="91" spans="1:16" ht="15" x14ac:dyDescent="0.3">
      <c r="A91" s="8">
        <f>Cp_Database_200!A91</f>
        <v>90</v>
      </c>
      <c r="B91" s="9" t="str">
        <f>Cp_Database_200!B91</f>
        <v>Potassium Iodide</v>
      </c>
      <c r="C91" s="10" t="str">
        <f>Cp_Database_200!C91</f>
        <v>KI</v>
      </c>
      <c r="D91" s="9" t="str">
        <f>Cp_Database_200!E91</f>
        <v>Halide &amp; Salt</v>
      </c>
      <c r="E91" s="12">
        <f>Cp_Database_200!K91</f>
        <v>298</v>
      </c>
      <c r="F91" s="12">
        <f>Cp_Database_200!L91</f>
        <v>954</v>
      </c>
      <c r="G91" s="16">
        <f>IF(AND(298.15&gt;=$E91, 298.15&lt;=$F91), ROUND(Cp_Database_200!$F91 + Cp_Database_200!$G91*0.29815 + Cp_Database_200!$H91*0.08889342 + Cp_Database_200!$I91*0.02650357 + Cp_Database_200!$J91/0.08889342, 2), "-")</f>
        <v>52.77</v>
      </c>
      <c r="H91" s="16">
        <f>IF(AND(400&gt;=$E91, 400&lt;=$F91), ROUND(Cp_Database_200!$F91 + Cp_Database_200!$G91*0.4 + Cp_Database_200!$H91*0.16 + Cp_Database_200!$I91*0.064 + Cp_Database_200!$J91/0.16, 2), "-")</f>
        <v>54</v>
      </c>
      <c r="I91" s="16">
        <f>IF(AND(500&gt;=$E91, 500&lt;=$F91), ROUND(Cp_Database_200!$F91 + Cp_Database_200!$G91*0.5 + Cp_Database_200!$H91*0.25 + Cp_Database_200!$I91*0.125 + Cp_Database_200!$J91/0.25, 2), "-")</f>
        <v>55.31</v>
      </c>
      <c r="J91" s="16">
        <f>IF(AND(600&gt;=$E91, 600&lt;=$F91), ROUND(Cp_Database_200!$F91 + Cp_Database_200!$G91*0.6 + Cp_Database_200!$H91*0.36 + Cp_Database_200!$I91*0.216 + Cp_Database_200!$J91/0.36, 2), "-")</f>
        <v>57.25</v>
      </c>
      <c r="K91" s="16">
        <f>IF(AND(700&gt;=$E91, 700&lt;=$F91), ROUND(Cp_Database_200!$F91 + Cp_Database_200!$G91*0.7 + Cp_Database_200!$H91*0.49 + Cp_Database_200!$I91*0.343 + Cp_Database_200!$J91/0.49, 2), "-")</f>
        <v>59.78</v>
      </c>
      <c r="L91" s="16">
        <f>IF(AND(800&gt;=$E91, 800&lt;=$F91), ROUND(Cp_Database_200!$F91 + Cp_Database_200!$G91*0.8 + Cp_Database_200!$H91*0.64 + Cp_Database_200!$I91*0.512 + Cp_Database_200!$J91/0.64, 2), "-")</f>
        <v>62.73</v>
      </c>
      <c r="M91" s="16" t="str">
        <f>IF(AND(1000&gt;=$E91, 1000&lt;=$F91), ROUND(Cp_Database_200!$F91 + Cp_Database_200!$G91*1 + Cp_Database_200!$H91*1 + Cp_Database_200!$I91*1 + Cp_Database_200!$J91/1, 2), "-")</f>
        <v>-</v>
      </c>
      <c r="N91" s="16" t="str">
        <f>IF(AND(1200&gt;=$E91, 1200&lt;=$F91), ROUND(Cp_Database_200!$F91 + Cp_Database_200!$G91*1.2 + Cp_Database_200!$H91*1.44 + Cp_Database_200!$I91*1.728 + Cp_Database_200!$J91/1.44, 2), "-")</f>
        <v>-</v>
      </c>
      <c r="O91" s="16" t="str">
        <f>IF(AND(1500&gt;=$E91, 1500&lt;=$F91), ROUND(Cp_Database_200!$F91 + Cp_Database_200!$G91*1.5 + Cp_Database_200!$H91*2.25 + Cp_Database_200!$I91*3.375 + Cp_Database_200!$J91/2.25, 2), "-")</f>
        <v>-</v>
      </c>
      <c r="P91" s="16" t="str">
        <f>IF(AND(2000&gt;=$E91, 2000&lt;=$F91), ROUND(Cp_Database_200!$F91 + Cp_Database_200!$G91*2 + Cp_Database_200!$H91*4 + Cp_Database_200!$I91*8 + Cp_Database_200!$J91/4, 2), "-")</f>
        <v>-</v>
      </c>
    </row>
    <row r="92" spans="1:16" ht="15" x14ac:dyDescent="0.3">
      <c r="A92" s="2">
        <f>Cp_Database_200!A92</f>
        <v>91</v>
      </c>
      <c r="B92" s="3" t="str">
        <f>Cp_Database_200!B92</f>
        <v>Sodium Bromide</v>
      </c>
      <c r="C92" s="4" t="str">
        <f>Cp_Database_200!C92</f>
        <v>NaBr</v>
      </c>
      <c r="D92" s="3" t="str">
        <f>Cp_Database_200!E92</f>
        <v>Halide &amp; Salt</v>
      </c>
      <c r="E92" s="6">
        <f>Cp_Database_200!K92</f>
        <v>298</v>
      </c>
      <c r="F92" s="6">
        <f>Cp_Database_200!L92</f>
        <v>1020</v>
      </c>
      <c r="G92" s="15">
        <f>IF(AND(298.15&gt;=$E92, 298.15&lt;=$F92), ROUND(Cp_Database_200!$F92 + Cp_Database_200!$G92*0.29815 + Cp_Database_200!$H92*0.08889342 + Cp_Database_200!$I92*0.02650357 + Cp_Database_200!$J92/0.08889342, 2), "-")</f>
        <v>51.42</v>
      </c>
      <c r="H92" s="15">
        <f>IF(AND(400&gt;=$E92, 400&lt;=$F92), ROUND(Cp_Database_200!$F92 + Cp_Database_200!$G92*0.4 + Cp_Database_200!$H92*0.16 + Cp_Database_200!$I92*0.064 + Cp_Database_200!$J92/0.16, 2), "-")</f>
        <v>53.35</v>
      </c>
      <c r="I92" s="15">
        <f>IF(AND(500&gt;=$E92, 500&lt;=$F92), ROUND(Cp_Database_200!$F92 + Cp_Database_200!$G92*0.5 + Cp_Database_200!$H92*0.25 + Cp_Database_200!$I92*0.125 + Cp_Database_200!$J92/0.25, 2), "-")</f>
        <v>54.82</v>
      </c>
      <c r="J92" s="15">
        <f>IF(AND(600&gt;=$E92, 600&lt;=$F92), ROUND(Cp_Database_200!$F92 + Cp_Database_200!$G92*0.6 + Cp_Database_200!$H92*0.36 + Cp_Database_200!$I92*0.216 + Cp_Database_200!$J92/0.36, 2), "-")</f>
        <v>56.13</v>
      </c>
      <c r="K92" s="15">
        <f>IF(AND(700&gt;=$E92, 700&lt;=$F92), ROUND(Cp_Database_200!$F92 + Cp_Database_200!$G92*0.7 + Cp_Database_200!$H92*0.49 + Cp_Database_200!$I92*0.343 + Cp_Database_200!$J92/0.49, 2), "-")</f>
        <v>57.39</v>
      </c>
      <c r="L92" s="15">
        <f>IF(AND(800&gt;=$E92, 800&lt;=$F92), ROUND(Cp_Database_200!$F92 + Cp_Database_200!$G92*0.8 + Cp_Database_200!$H92*0.64 + Cp_Database_200!$I92*0.512 + Cp_Database_200!$J92/0.64, 2), "-")</f>
        <v>58.62</v>
      </c>
      <c r="M92" s="15">
        <f>IF(AND(1000&gt;=$E92, 1000&lt;=$F92), ROUND(Cp_Database_200!$F92 + Cp_Database_200!$G92*1 + Cp_Database_200!$H92*1 + Cp_Database_200!$I92*1 + Cp_Database_200!$J92/1, 2), "-")</f>
        <v>61.07</v>
      </c>
      <c r="N92" s="15" t="str">
        <f>IF(AND(1200&gt;=$E92, 1200&lt;=$F92), ROUND(Cp_Database_200!$F92 + Cp_Database_200!$G92*1.2 + Cp_Database_200!$H92*1.44 + Cp_Database_200!$I92*1.728 + Cp_Database_200!$J92/1.44, 2), "-")</f>
        <v>-</v>
      </c>
      <c r="O92" s="15" t="str">
        <f>IF(AND(1500&gt;=$E92, 1500&lt;=$F92), ROUND(Cp_Database_200!$F92 + Cp_Database_200!$G92*1.5 + Cp_Database_200!$H92*2.25 + Cp_Database_200!$I92*3.375 + Cp_Database_200!$J92/2.25, 2), "-")</f>
        <v>-</v>
      </c>
      <c r="P92" s="15" t="str">
        <f>IF(AND(2000&gt;=$E92, 2000&lt;=$F92), ROUND(Cp_Database_200!$F92 + Cp_Database_200!$G92*2 + Cp_Database_200!$H92*4 + Cp_Database_200!$I92*8 + Cp_Database_200!$J92/4, 2), "-")</f>
        <v>-</v>
      </c>
    </row>
    <row r="93" spans="1:16" ht="15" x14ac:dyDescent="0.3">
      <c r="A93" s="8">
        <f>Cp_Database_200!A93</f>
        <v>92</v>
      </c>
      <c r="B93" s="9" t="str">
        <f>Cp_Database_200!B93</f>
        <v>Sodium Iodide</v>
      </c>
      <c r="C93" s="10" t="str">
        <f>Cp_Database_200!C93</f>
        <v>NaI</v>
      </c>
      <c r="D93" s="9" t="str">
        <f>Cp_Database_200!E93</f>
        <v>Halide &amp; Salt</v>
      </c>
      <c r="E93" s="12">
        <f>Cp_Database_200!K93</f>
        <v>298</v>
      </c>
      <c r="F93" s="12">
        <f>Cp_Database_200!L93</f>
        <v>933</v>
      </c>
      <c r="G93" s="16">
        <f>IF(AND(298.15&gt;=$E93, 298.15&lt;=$F93), ROUND(Cp_Database_200!$F93 + Cp_Database_200!$G93*0.29815 + Cp_Database_200!$H93*0.08889342 + Cp_Database_200!$I93*0.02650357 + Cp_Database_200!$J93/0.08889342, 2), "-")</f>
        <v>52.23</v>
      </c>
      <c r="H93" s="16">
        <f>IF(AND(400&gt;=$E93, 400&lt;=$F93), ROUND(Cp_Database_200!$F93 + Cp_Database_200!$G93*0.4 + Cp_Database_200!$H93*0.16 + Cp_Database_200!$I93*0.064 + Cp_Database_200!$J93/0.16, 2), "-")</f>
        <v>53.78</v>
      </c>
      <c r="I93" s="16">
        <f>IF(AND(500&gt;=$E93, 500&lt;=$F93), ROUND(Cp_Database_200!$F93 + Cp_Database_200!$G93*0.5 + Cp_Database_200!$H93*0.25 + Cp_Database_200!$I93*0.125 + Cp_Database_200!$J93/0.25, 2), "-")</f>
        <v>55.05</v>
      </c>
      <c r="J93" s="16">
        <f>IF(AND(600&gt;=$E93, 600&lt;=$F93), ROUND(Cp_Database_200!$F93 + Cp_Database_200!$G93*0.6 + Cp_Database_200!$H93*0.36 + Cp_Database_200!$I93*0.216 + Cp_Database_200!$J93/0.36, 2), "-")</f>
        <v>56.23</v>
      </c>
      <c r="K93" s="16">
        <f>IF(AND(700&gt;=$E93, 700&lt;=$F93), ROUND(Cp_Database_200!$F93 + Cp_Database_200!$G93*0.7 + Cp_Database_200!$H93*0.49 + Cp_Database_200!$I93*0.343 + Cp_Database_200!$J93/0.49, 2), "-")</f>
        <v>57.37</v>
      </c>
      <c r="L93" s="16">
        <f>IF(AND(800&gt;=$E93, 800&lt;=$F93), ROUND(Cp_Database_200!$F93 + Cp_Database_200!$G93*0.8 + Cp_Database_200!$H93*0.64 + Cp_Database_200!$I93*0.512 + Cp_Database_200!$J93/0.64, 2), "-")</f>
        <v>58.48</v>
      </c>
      <c r="M93" s="16" t="str">
        <f>IF(AND(1000&gt;=$E93, 1000&lt;=$F93), ROUND(Cp_Database_200!$F93 + Cp_Database_200!$G93*1 + Cp_Database_200!$H93*1 + Cp_Database_200!$I93*1 + Cp_Database_200!$J93/1, 2), "-")</f>
        <v>-</v>
      </c>
      <c r="N93" s="16" t="str">
        <f>IF(AND(1200&gt;=$E93, 1200&lt;=$F93), ROUND(Cp_Database_200!$F93 + Cp_Database_200!$G93*1.2 + Cp_Database_200!$H93*1.44 + Cp_Database_200!$I93*1.728 + Cp_Database_200!$J93/1.44, 2), "-")</f>
        <v>-</v>
      </c>
      <c r="O93" s="16" t="str">
        <f>IF(AND(1500&gt;=$E93, 1500&lt;=$F93), ROUND(Cp_Database_200!$F93 + Cp_Database_200!$G93*1.5 + Cp_Database_200!$H93*2.25 + Cp_Database_200!$I93*3.375 + Cp_Database_200!$J93/2.25, 2), "-")</f>
        <v>-</v>
      </c>
      <c r="P93" s="16" t="str">
        <f>IF(AND(2000&gt;=$E93, 2000&lt;=$F93), ROUND(Cp_Database_200!$F93 + Cp_Database_200!$G93*2 + Cp_Database_200!$H93*4 + Cp_Database_200!$I93*8 + Cp_Database_200!$J93/4, 2), "-")</f>
        <v>-</v>
      </c>
    </row>
    <row r="94" spans="1:16" ht="15" x14ac:dyDescent="0.3">
      <c r="A94" s="2">
        <f>Cp_Database_200!A94</f>
        <v>93</v>
      </c>
      <c r="B94" s="3" t="str">
        <f>Cp_Database_200!B94</f>
        <v>Lithium Chloride</v>
      </c>
      <c r="C94" s="4" t="str">
        <f>Cp_Database_200!C94</f>
        <v>LiCl</v>
      </c>
      <c r="D94" s="3" t="str">
        <f>Cp_Database_200!E94</f>
        <v>Halide &amp; Salt</v>
      </c>
      <c r="E94" s="6">
        <f>Cp_Database_200!K94</f>
        <v>298</v>
      </c>
      <c r="F94" s="6">
        <f>Cp_Database_200!L94</f>
        <v>883</v>
      </c>
      <c r="G94" s="15">
        <f>IF(AND(298.15&gt;=$E94, 298.15&lt;=$F94), ROUND(Cp_Database_200!$F94 + Cp_Database_200!$G94*0.29815 + Cp_Database_200!$H94*0.08889342 + Cp_Database_200!$I94*0.02650357 + Cp_Database_200!$J94/0.08889342, 2), "-")</f>
        <v>48.04</v>
      </c>
      <c r="H94" s="15">
        <f>IF(AND(400&gt;=$E94, 400&lt;=$F94), ROUND(Cp_Database_200!$F94 + Cp_Database_200!$G94*0.4 + Cp_Database_200!$H94*0.16 + Cp_Database_200!$I94*0.064 + Cp_Database_200!$J94/0.16, 2), "-")</f>
        <v>50.93</v>
      </c>
      <c r="I94" s="15">
        <f>IF(AND(500&gt;=$E94, 500&lt;=$F94), ROUND(Cp_Database_200!$F94 + Cp_Database_200!$G94*0.5 + Cp_Database_200!$H94*0.25 + Cp_Database_200!$I94*0.125 + Cp_Database_200!$J94/0.25, 2), "-")</f>
        <v>53.35</v>
      </c>
      <c r="J94" s="15">
        <f>IF(AND(600&gt;=$E94, 600&lt;=$F94), ROUND(Cp_Database_200!$F94 + Cp_Database_200!$G94*0.6 + Cp_Database_200!$H94*0.36 + Cp_Database_200!$I94*0.216 + Cp_Database_200!$J94/0.36, 2), "-")</f>
        <v>55.61</v>
      </c>
      <c r="K94" s="15">
        <f>IF(AND(700&gt;=$E94, 700&lt;=$F94), ROUND(Cp_Database_200!$F94 + Cp_Database_200!$G94*0.7 + Cp_Database_200!$H94*0.49 + Cp_Database_200!$I94*0.343 + Cp_Database_200!$J94/0.49, 2), "-")</f>
        <v>57.79</v>
      </c>
      <c r="L94" s="15">
        <f>IF(AND(800&gt;=$E94, 800&lt;=$F94), ROUND(Cp_Database_200!$F94 + Cp_Database_200!$G94*0.8 + Cp_Database_200!$H94*0.64 + Cp_Database_200!$I94*0.512 + Cp_Database_200!$J94/0.64, 2), "-")</f>
        <v>59.94</v>
      </c>
      <c r="M94" s="15" t="str">
        <f>IF(AND(1000&gt;=$E94, 1000&lt;=$F94), ROUND(Cp_Database_200!$F94 + Cp_Database_200!$G94*1 + Cp_Database_200!$H94*1 + Cp_Database_200!$I94*1 + Cp_Database_200!$J94/1, 2), "-")</f>
        <v>-</v>
      </c>
      <c r="N94" s="15" t="str">
        <f>IF(AND(1200&gt;=$E94, 1200&lt;=$F94), ROUND(Cp_Database_200!$F94 + Cp_Database_200!$G94*1.2 + Cp_Database_200!$H94*1.44 + Cp_Database_200!$I94*1.728 + Cp_Database_200!$J94/1.44, 2), "-")</f>
        <v>-</v>
      </c>
      <c r="O94" s="15" t="str">
        <f>IF(AND(1500&gt;=$E94, 1500&lt;=$F94), ROUND(Cp_Database_200!$F94 + Cp_Database_200!$G94*1.5 + Cp_Database_200!$H94*2.25 + Cp_Database_200!$I94*3.375 + Cp_Database_200!$J94/2.25, 2), "-")</f>
        <v>-</v>
      </c>
      <c r="P94" s="15" t="str">
        <f>IF(AND(2000&gt;=$E94, 2000&lt;=$F94), ROUND(Cp_Database_200!$F94 + Cp_Database_200!$G94*2 + Cp_Database_200!$H94*4 + Cp_Database_200!$I94*8 + Cp_Database_200!$J94/4, 2), "-")</f>
        <v>-</v>
      </c>
    </row>
    <row r="95" spans="1:16" ht="15" x14ac:dyDescent="0.3">
      <c r="A95" s="8">
        <f>Cp_Database_200!A95</f>
        <v>94</v>
      </c>
      <c r="B95" s="9" t="str">
        <f>Cp_Database_200!B95</f>
        <v>Lithium Bromide</v>
      </c>
      <c r="C95" s="10" t="str">
        <f>Cp_Database_200!C95</f>
        <v>LiBr</v>
      </c>
      <c r="D95" s="9" t="str">
        <f>Cp_Database_200!E95</f>
        <v>Halide &amp; Salt</v>
      </c>
      <c r="E95" s="12">
        <f>Cp_Database_200!K95</f>
        <v>298</v>
      </c>
      <c r="F95" s="12">
        <f>Cp_Database_200!L95</f>
        <v>823</v>
      </c>
      <c r="G95" s="16">
        <f>IF(AND(298.15&gt;=$E95, 298.15&lt;=$F95), ROUND(Cp_Database_200!$F95 + Cp_Database_200!$G95*0.29815 + Cp_Database_200!$H95*0.08889342 + Cp_Database_200!$I95*0.02650357 + Cp_Database_200!$J95/0.08889342, 2), "-")</f>
        <v>48.92</v>
      </c>
      <c r="H95" s="16">
        <f>IF(AND(400&gt;=$E95, 400&lt;=$F95), ROUND(Cp_Database_200!$F95 + Cp_Database_200!$G95*0.4 + Cp_Database_200!$H95*0.16 + Cp_Database_200!$I95*0.064 + Cp_Database_200!$J95/0.16, 2), "-")</f>
        <v>51.27</v>
      </c>
      <c r="I95" s="16">
        <f>IF(AND(500&gt;=$E95, 500&lt;=$F95), ROUND(Cp_Database_200!$F95 + Cp_Database_200!$G95*0.5 + Cp_Database_200!$H95*0.25 + Cp_Database_200!$I95*0.125 + Cp_Database_200!$J95/0.25, 2), "-")</f>
        <v>53.35</v>
      </c>
      <c r="J95" s="16">
        <f>IF(AND(600&gt;=$E95, 600&lt;=$F95), ROUND(Cp_Database_200!$F95 + Cp_Database_200!$G95*0.6 + Cp_Database_200!$H95*0.36 + Cp_Database_200!$I95*0.216 + Cp_Database_200!$J95/0.36, 2), "-")</f>
        <v>56.14</v>
      </c>
      <c r="K95" s="16">
        <f>IF(AND(700&gt;=$E95, 700&lt;=$F95), ROUND(Cp_Database_200!$F95 + Cp_Database_200!$G95*0.7 + Cp_Database_200!$H95*0.49 + Cp_Database_200!$I95*0.343 + Cp_Database_200!$J95/0.49, 2), "-")</f>
        <v>59.8</v>
      </c>
      <c r="L95" s="16">
        <f>IF(AND(800&gt;=$E95, 800&lt;=$F95), ROUND(Cp_Database_200!$F95 + Cp_Database_200!$G95*0.8 + Cp_Database_200!$H95*0.64 + Cp_Database_200!$I95*0.512 + Cp_Database_200!$J95/0.64, 2), "-")</f>
        <v>64.3</v>
      </c>
      <c r="M95" s="16" t="str">
        <f>IF(AND(1000&gt;=$E95, 1000&lt;=$F95), ROUND(Cp_Database_200!$F95 + Cp_Database_200!$G95*1 + Cp_Database_200!$H95*1 + Cp_Database_200!$I95*1 + Cp_Database_200!$J95/1, 2), "-")</f>
        <v>-</v>
      </c>
      <c r="N95" s="16" t="str">
        <f>IF(AND(1200&gt;=$E95, 1200&lt;=$F95), ROUND(Cp_Database_200!$F95 + Cp_Database_200!$G95*1.2 + Cp_Database_200!$H95*1.44 + Cp_Database_200!$I95*1.728 + Cp_Database_200!$J95/1.44, 2), "-")</f>
        <v>-</v>
      </c>
      <c r="O95" s="16" t="str">
        <f>IF(AND(1500&gt;=$E95, 1500&lt;=$F95), ROUND(Cp_Database_200!$F95 + Cp_Database_200!$G95*1.5 + Cp_Database_200!$H95*2.25 + Cp_Database_200!$I95*3.375 + Cp_Database_200!$J95/2.25, 2), "-")</f>
        <v>-</v>
      </c>
      <c r="P95" s="16" t="str">
        <f>IF(AND(2000&gt;=$E95, 2000&lt;=$F95), ROUND(Cp_Database_200!$F95 + Cp_Database_200!$G95*2 + Cp_Database_200!$H95*4 + Cp_Database_200!$I95*8 + Cp_Database_200!$J95/4, 2), "-")</f>
        <v>-</v>
      </c>
    </row>
    <row r="96" spans="1:16" ht="15" x14ac:dyDescent="0.3">
      <c r="A96" s="2">
        <f>Cp_Database_200!A96</f>
        <v>95</v>
      </c>
      <c r="B96" s="3" t="str">
        <f>Cp_Database_200!B96</f>
        <v>Lead(II) Chloride (cotunnite)</v>
      </c>
      <c r="C96" s="4" t="str">
        <f>Cp_Database_200!C96</f>
        <v>PbCl2</v>
      </c>
      <c r="D96" s="3" t="str">
        <f>Cp_Database_200!E96</f>
        <v>Halide &amp; Salt</v>
      </c>
      <c r="E96" s="6">
        <f>Cp_Database_200!K96</f>
        <v>298</v>
      </c>
      <c r="F96" s="6">
        <f>Cp_Database_200!L96</f>
        <v>774</v>
      </c>
      <c r="G96" s="15">
        <f>IF(AND(298.15&gt;=$E96, 298.15&lt;=$F96), ROUND(Cp_Database_200!$F96 + Cp_Database_200!$G96*0.29815 + Cp_Database_200!$H96*0.08889342 + Cp_Database_200!$I96*0.02650357 + Cp_Database_200!$J96/0.08889342, 2), "-")</f>
        <v>77.09</v>
      </c>
      <c r="H96" s="15">
        <f>IF(AND(400&gt;=$E96, 400&lt;=$F96), ROUND(Cp_Database_200!$F96 + Cp_Database_200!$G96*0.4 + Cp_Database_200!$H96*0.16 + Cp_Database_200!$I96*0.064 + Cp_Database_200!$J96/0.16, 2), "-")</f>
        <v>80.09</v>
      </c>
      <c r="I96" s="15">
        <f>IF(AND(500&gt;=$E96, 500&lt;=$F96), ROUND(Cp_Database_200!$F96 + Cp_Database_200!$G96*0.5 + Cp_Database_200!$H96*0.25 + Cp_Database_200!$I96*0.125 + Cp_Database_200!$J96/0.25, 2), "-")</f>
        <v>82.99</v>
      </c>
      <c r="J96" s="15">
        <f>IF(AND(600&gt;=$E96, 600&lt;=$F96), ROUND(Cp_Database_200!$F96 + Cp_Database_200!$G96*0.6 + Cp_Database_200!$H96*0.36 + Cp_Database_200!$I96*0.216 + Cp_Database_200!$J96/0.36, 2), "-")</f>
        <v>85.88</v>
      </c>
      <c r="K96" s="15">
        <f>IF(AND(700&gt;=$E96, 700&lt;=$F96), ROUND(Cp_Database_200!$F96 + Cp_Database_200!$G96*0.7 + Cp_Database_200!$H96*0.49 + Cp_Database_200!$I96*0.343 + Cp_Database_200!$J96/0.49, 2), "-")</f>
        <v>88.77</v>
      </c>
      <c r="L96" s="15" t="str">
        <f>IF(AND(800&gt;=$E96, 800&lt;=$F96), ROUND(Cp_Database_200!$F96 + Cp_Database_200!$G96*0.8 + Cp_Database_200!$H96*0.64 + Cp_Database_200!$I96*0.512 + Cp_Database_200!$J96/0.64, 2), "-")</f>
        <v>-</v>
      </c>
      <c r="M96" s="15" t="str">
        <f>IF(AND(1000&gt;=$E96, 1000&lt;=$F96), ROUND(Cp_Database_200!$F96 + Cp_Database_200!$G96*1 + Cp_Database_200!$H96*1 + Cp_Database_200!$I96*1 + Cp_Database_200!$J96/1, 2), "-")</f>
        <v>-</v>
      </c>
      <c r="N96" s="15" t="str">
        <f>IF(AND(1200&gt;=$E96, 1200&lt;=$F96), ROUND(Cp_Database_200!$F96 + Cp_Database_200!$G96*1.2 + Cp_Database_200!$H96*1.44 + Cp_Database_200!$I96*1.728 + Cp_Database_200!$J96/1.44, 2), "-")</f>
        <v>-</v>
      </c>
      <c r="O96" s="15" t="str">
        <f>IF(AND(1500&gt;=$E96, 1500&lt;=$F96), ROUND(Cp_Database_200!$F96 + Cp_Database_200!$G96*1.5 + Cp_Database_200!$H96*2.25 + Cp_Database_200!$I96*3.375 + Cp_Database_200!$J96/2.25, 2), "-")</f>
        <v>-</v>
      </c>
      <c r="P96" s="15" t="str">
        <f>IF(AND(2000&gt;=$E96, 2000&lt;=$F96), ROUND(Cp_Database_200!$F96 + Cp_Database_200!$G96*2 + Cp_Database_200!$H96*4 + Cp_Database_200!$I96*8 + Cp_Database_200!$J96/4, 2), "-")</f>
        <v>-</v>
      </c>
    </row>
    <row r="97" spans="1:16" ht="15" x14ac:dyDescent="0.3">
      <c r="A97" s="8">
        <f>Cp_Database_200!A97</f>
        <v>96</v>
      </c>
      <c r="B97" s="9" t="str">
        <f>Cp_Database_200!B97</f>
        <v>Lead(II) Fluoride</v>
      </c>
      <c r="C97" s="10" t="str">
        <f>Cp_Database_200!C97</f>
        <v>PbF2</v>
      </c>
      <c r="D97" s="9" t="str">
        <f>Cp_Database_200!E97</f>
        <v>Halide &amp; Salt</v>
      </c>
      <c r="E97" s="12">
        <f>Cp_Database_200!K97</f>
        <v>298</v>
      </c>
      <c r="F97" s="12">
        <f>Cp_Database_200!L97</f>
        <v>1000</v>
      </c>
      <c r="G97" s="16">
        <f>IF(AND(298.15&gt;=$E97, 298.15&lt;=$F97), ROUND(Cp_Database_200!$F97 + Cp_Database_200!$G97*0.29815 + Cp_Database_200!$H97*0.08889342 + Cp_Database_200!$I97*0.02650357 + Cp_Database_200!$J97/0.08889342, 2), "-")</f>
        <v>72.27</v>
      </c>
      <c r="H97" s="16">
        <f>IF(AND(400&gt;=$E97, 400&lt;=$F97), ROUND(Cp_Database_200!$F97 + Cp_Database_200!$G97*0.4 + Cp_Database_200!$H97*0.16 + Cp_Database_200!$I97*0.064 + Cp_Database_200!$J97/0.16, 2), "-")</f>
        <v>76.19</v>
      </c>
      <c r="I97" s="16">
        <f>IF(AND(500&gt;=$E97, 500&lt;=$F97), ROUND(Cp_Database_200!$F97 + Cp_Database_200!$G97*0.5 + Cp_Database_200!$H97*0.25 + Cp_Database_200!$I97*0.125 + Cp_Database_200!$J97/0.25, 2), "-")</f>
        <v>79.44</v>
      </c>
      <c r="J97" s="16">
        <f>IF(AND(600&gt;=$E97, 600&lt;=$F97), ROUND(Cp_Database_200!$F97 + Cp_Database_200!$G97*0.6 + Cp_Database_200!$H97*0.36 + Cp_Database_200!$I97*0.216 + Cp_Database_200!$J97/0.36, 2), "-")</f>
        <v>82.59</v>
      </c>
      <c r="K97" s="16">
        <f>IF(AND(700&gt;=$E97, 700&lt;=$F97), ROUND(Cp_Database_200!$F97 + Cp_Database_200!$G97*0.7 + Cp_Database_200!$H97*0.49 + Cp_Database_200!$I97*0.343 + Cp_Database_200!$J97/0.49, 2), "-")</f>
        <v>85.78</v>
      </c>
      <c r="L97" s="16">
        <f>IF(AND(800&gt;=$E97, 800&lt;=$F97), ROUND(Cp_Database_200!$F97 + Cp_Database_200!$G97*0.8 + Cp_Database_200!$H97*0.64 + Cp_Database_200!$I97*0.512 + Cp_Database_200!$J97/0.64, 2), "-")</f>
        <v>89.02</v>
      </c>
      <c r="M97" s="16">
        <f>IF(AND(1000&gt;=$E97, 1000&lt;=$F97), ROUND(Cp_Database_200!$F97 + Cp_Database_200!$G97*1 + Cp_Database_200!$H97*1 + Cp_Database_200!$I97*1 + Cp_Database_200!$J97/1, 2), "-")</f>
        <v>95.64</v>
      </c>
      <c r="N97" s="16" t="str">
        <f>IF(AND(1200&gt;=$E97, 1200&lt;=$F97), ROUND(Cp_Database_200!$F97 + Cp_Database_200!$G97*1.2 + Cp_Database_200!$H97*1.44 + Cp_Database_200!$I97*1.728 + Cp_Database_200!$J97/1.44, 2), "-")</f>
        <v>-</v>
      </c>
      <c r="O97" s="16" t="str">
        <f>IF(AND(1500&gt;=$E97, 1500&lt;=$F97), ROUND(Cp_Database_200!$F97 + Cp_Database_200!$G97*1.5 + Cp_Database_200!$H97*2.25 + Cp_Database_200!$I97*3.375 + Cp_Database_200!$J97/2.25, 2), "-")</f>
        <v>-</v>
      </c>
      <c r="P97" s="16" t="str">
        <f>IF(AND(2000&gt;=$E97, 2000&lt;=$F97), ROUND(Cp_Database_200!$F97 + Cp_Database_200!$G97*2 + Cp_Database_200!$H97*4 + Cp_Database_200!$I97*8 + Cp_Database_200!$J97/4, 2), "-")</f>
        <v>-</v>
      </c>
    </row>
    <row r="98" spans="1:16" ht="15" x14ac:dyDescent="0.3">
      <c r="A98" s="2">
        <f>Cp_Database_200!A98</f>
        <v>97</v>
      </c>
      <c r="B98" s="3" t="str">
        <f>Cp_Database_200!B98</f>
        <v>Magnesium Carbonate (magnesite)</v>
      </c>
      <c r="C98" s="4" t="str">
        <f>Cp_Database_200!C98</f>
        <v>MgCO3</v>
      </c>
      <c r="D98" s="3" t="str">
        <f>Cp_Database_200!E98</f>
        <v>Carbonate</v>
      </c>
      <c r="E98" s="6">
        <f>Cp_Database_200!K98</f>
        <v>298</v>
      </c>
      <c r="F98" s="6">
        <f>Cp_Database_200!L98</f>
        <v>1000</v>
      </c>
      <c r="G98" s="15">
        <f>IF(AND(298.15&gt;=$E98, 298.15&lt;=$F98), ROUND(Cp_Database_200!$F98 + Cp_Database_200!$G98*0.29815 + Cp_Database_200!$H98*0.08889342 + Cp_Database_200!$I98*0.02650357 + Cp_Database_200!$J98/0.08889342, 2), "-")</f>
        <v>76.22</v>
      </c>
      <c r="H98" s="15">
        <f>IF(AND(400&gt;=$E98, 400&lt;=$F98), ROUND(Cp_Database_200!$F98 + Cp_Database_200!$G98*0.4 + Cp_Database_200!$H98*0.16 + Cp_Database_200!$I98*0.064 + Cp_Database_200!$J98/0.16, 2), "-")</f>
        <v>89.78</v>
      </c>
      <c r="I98" s="15">
        <f>IF(AND(500&gt;=$E98, 500&lt;=$F98), ROUND(Cp_Database_200!$F98 + Cp_Database_200!$G98*0.5 + Cp_Database_200!$H98*0.25 + Cp_Database_200!$I98*0.125 + Cp_Database_200!$J98/0.25, 2), "-")</f>
        <v>100.23</v>
      </c>
      <c r="J98" s="15">
        <f>IF(AND(600&gt;=$E98, 600&lt;=$F98), ROUND(Cp_Database_200!$F98 + Cp_Database_200!$G98*0.6 + Cp_Database_200!$H98*0.36 + Cp_Database_200!$I98*0.216 + Cp_Database_200!$J98/0.36, 2), "-")</f>
        <v>108.9</v>
      </c>
      <c r="K98" s="15">
        <f>IF(AND(700&gt;=$E98, 700&lt;=$F98), ROUND(Cp_Database_200!$F98 + Cp_Database_200!$G98*0.7 + Cp_Database_200!$H98*0.49 + Cp_Database_200!$I98*0.343 + Cp_Database_200!$J98/0.49, 2), "-")</f>
        <v>116.21</v>
      </c>
      <c r="L98" s="15">
        <f>IF(AND(800&gt;=$E98, 800&lt;=$F98), ROUND(Cp_Database_200!$F98 + Cp_Database_200!$G98*0.8 + Cp_Database_200!$H98*0.64 + Cp_Database_200!$I98*0.512 + Cp_Database_200!$J98/0.64, 2), "-")</f>
        <v>122.38</v>
      </c>
      <c r="M98" s="15">
        <f>IF(AND(1000&gt;=$E98, 1000&lt;=$F98), ROUND(Cp_Database_200!$F98 + Cp_Database_200!$G98*1 + Cp_Database_200!$H98*1 + Cp_Database_200!$I98*1 + Cp_Database_200!$J98/1, 2), "-")</f>
        <v>131.81</v>
      </c>
      <c r="N98" s="15" t="str">
        <f>IF(AND(1200&gt;=$E98, 1200&lt;=$F98), ROUND(Cp_Database_200!$F98 + Cp_Database_200!$G98*1.2 + Cp_Database_200!$H98*1.44 + Cp_Database_200!$I98*1.728 + Cp_Database_200!$J98/1.44, 2), "-")</f>
        <v>-</v>
      </c>
      <c r="O98" s="15" t="str">
        <f>IF(AND(1500&gt;=$E98, 1500&lt;=$F98), ROUND(Cp_Database_200!$F98 + Cp_Database_200!$G98*1.5 + Cp_Database_200!$H98*2.25 + Cp_Database_200!$I98*3.375 + Cp_Database_200!$J98/2.25, 2), "-")</f>
        <v>-</v>
      </c>
      <c r="P98" s="15" t="str">
        <f>IF(AND(2000&gt;=$E98, 2000&lt;=$F98), ROUND(Cp_Database_200!$F98 + Cp_Database_200!$G98*2 + Cp_Database_200!$H98*4 + Cp_Database_200!$I98*8 + Cp_Database_200!$J98/4, 2), "-")</f>
        <v>-</v>
      </c>
    </row>
    <row r="99" spans="1:16" ht="15" x14ac:dyDescent="0.3">
      <c r="A99" s="8">
        <f>Cp_Database_200!A99</f>
        <v>98</v>
      </c>
      <c r="B99" s="9" t="str">
        <f>Cp_Database_200!B99</f>
        <v>Magnesium Sulfate</v>
      </c>
      <c r="C99" s="10" t="str">
        <f>Cp_Database_200!C99</f>
        <v>MgSO4</v>
      </c>
      <c r="D99" s="9" t="str">
        <f>Cp_Database_200!E99</f>
        <v>Sulfate</v>
      </c>
      <c r="E99" s="12">
        <f>Cp_Database_200!K99</f>
        <v>298</v>
      </c>
      <c r="F99" s="12">
        <f>Cp_Database_200!L99</f>
        <v>1400</v>
      </c>
      <c r="G99" s="16">
        <f>IF(AND(298.15&gt;=$E99, 298.15&lt;=$F99), ROUND(Cp_Database_200!$F99 + Cp_Database_200!$G99*0.29815 + Cp_Database_200!$H99*0.08889342 + Cp_Database_200!$I99*0.02650357 + Cp_Database_200!$J99/0.08889342, 2), "-")</f>
        <v>96.38</v>
      </c>
      <c r="H99" s="16">
        <f>IF(AND(400&gt;=$E99, 400&lt;=$F99), ROUND(Cp_Database_200!$F99 + Cp_Database_200!$G99*0.4 + Cp_Database_200!$H99*0.16 + Cp_Database_200!$I99*0.064 + Cp_Database_200!$J99/0.16, 2), "-")</f>
        <v>109.3</v>
      </c>
      <c r="I99" s="16">
        <f>IF(AND(500&gt;=$E99, 500&lt;=$F99), ROUND(Cp_Database_200!$F99 + Cp_Database_200!$G99*0.5 + Cp_Database_200!$H99*0.25 + Cp_Database_200!$I99*0.125 + Cp_Database_200!$J99/0.25, 2), "-")</f>
        <v>119.08</v>
      </c>
      <c r="J99" s="16">
        <f>IF(AND(600&gt;=$E99, 600&lt;=$F99), ROUND(Cp_Database_200!$F99 + Cp_Database_200!$G99*0.6 + Cp_Database_200!$H99*0.36 + Cp_Database_200!$I99*0.216 + Cp_Database_200!$J99/0.36, 2), "-")</f>
        <v>127.37</v>
      </c>
      <c r="K99" s="16">
        <f>IF(AND(700&gt;=$E99, 700&lt;=$F99), ROUND(Cp_Database_200!$F99 + Cp_Database_200!$G99*0.7 + Cp_Database_200!$H99*0.49 + Cp_Database_200!$I99*0.343 + Cp_Database_200!$J99/0.49, 2), "-")</f>
        <v>134.65</v>
      </c>
      <c r="L99" s="16">
        <f>IF(AND(800&gt;=$E99, 800&lt;=$F99), ROUND(Cp_Database_200!$F99 + Cp_Database_200!$G99*0.8 + Cp_Database_200!$H99*0.64 + Cp_Database_200!$I99*0.512 + Cp_Database_200!$J99/0.64, 2), "-")</f>
        <v>141.13</v>
      </c>
      <c r="M99" s="16">
        <f>IF(AND(1000&gt;=$E99, 1000&lt;=$F99), ROUND(Cp_Database_200!$F99 + Cp_Database_200!$G99*1 + Cp_Database_200!$H99*1 + Cp_Database_200!$I99*1 + Cp_Database_200!$J99/1, 2), "-")</f>
        <v>152.16</v>
      </c>
      <c r="N99" s="16">
        <f>IF(AND(1200&gt;=$E99, 1200&lt;=$F99), ROUND(Cp_Database_200!$F99 + Cp_Database_200!$G99*1.2 + Cp_Database_200!$H99*1.44 + Cp_Database_200!$I99*1.728 + Cp_Database_200!$J99/1.44, 2), "-")</f>
        <v>161.03</v>
      </c>
      <c r="O99" s="16" t="str">
        <f>IF(AND(1500&gt;=$E99, 1500&lt;=$F99), ROUND(Cp_Database_200!$F99 + Cp_Database_200!$G99*1.5 + Cp_Database_200!$H99*2.25 + Cp_Database_200!$I99*3.375 + Cp_Database_200!$J99/2.25, 2), "-")</f>
        <v>-</v>
      </c>
      <c r="P99" s="16" t="str">
        <f>IF(AND(2000&gt;=$E99, 2000&lt;=$F99), ROUND(Cp_Database_200!$F99 + Cp_Database_200!$G99*2 + Cp_Database_200!$H99*4 + Cp_Database_200!$I99*8 + Cp_Database_200!$J99/4, 2), "-")</f>
        <v>-</v>
      </c>
    </row>
    <row r="100" spans="1:16" ht="15" x14ac:dyDescent="0.3">
      <c r="A100" s="2">
        <f>Cp_Database_200!A100</f>
        <v>99</v>
      </c>
      <c r="B100" s="3" t="str">
        <f>Cp_Database_200!B100</f>
        <v>Sodium Sulfate</v>
      </c>
      <c r="C100" s="4" t="str">
        <f>Cp_Database_200!C100</f>
        <v>Na2SO4</v>
      </c>
      <c r="D100" s="3" t="str">
        <f>Cp_Database_200!E100</f>
        <v>Sulfate</v>
      </c>
      <c r="E100" s="6">
        <f>Cp_Database_200!K100</f>
        <v>298</v>
      </c>
      <c r="F100" s="6">
        <f>Cp_Database_200!L100</f>
        <v>1000</v>
      </c>
      <c r="G100" s="15">
        <f>IF(AND(298.15&gt;=$E100, 298.15&lt;=$F100), ROUND(Cp_Database_200!$F100 + Cp_Database_200!$G100*0.29815 + Cp_Database_200!$H100*0.08889342 + Cp_Database_200!$I100*0.02650357 + Cp_Database_200!$J100/0.08889342, 2), "-")</f>
        <v>128.13999999999999</v>
      </c>
      <c r="H100" s="15">
        <f>IF(AND(400&gt;=$E100, 400&lt;=$F100), ROUND(Cp_Database_200!$F100 + Cp_Database_200!$G100*0.4 + Cp_Database_200!$H100*0.16 + Cp_Database_200!$I100*0.064 + Cp_Database_200!$J100/0.16, 2), "-")</f>
        <v>145.11000000000001</v>
      </c>
      <c r="I100" s="15">
        <f>IF(AND(500&gt;=$E100, 500&lt;=$F100), ROUND(Cp_Database_200!$F100 + Cp_Database_200!$G100*0.5 + Cp_Database_200!$H100*0.25 + Cp_Database_200!$I100*0.125 + Cp_Database_200!$J100/0.25, 2), "-")</f>
        <v>158.9</v>
      </c>
      <c r="J100" s="15">
        <f>IF(AND(600&gt;=$E100, 600&lt;=$F100), ROUND(Cp_Database_200!$F100 + Cp_Database_200!$G100*0.6 + Cp_Database_200!$H100*0.36 + Cp_Database_200!$I100*0.216 + Cp_Database_200!$J100/0.36, 2), "-")</f>
        <v>171.32</v>
      </c>
      <c r="K100" s="15">
        <f>IF(AND(700&gt;=$E100, 700&lt;=$F100), ROUND(Cp_Database_200!$F100 + Cp_Database_200!$G100*0.7 + Cp_Database_200!$H100*0.49 + Cp_Database_200!$I100*0.343 + Cp_Database_200!$J100/0.49, 2), "-")</f>
        <v>182.95</v>
      </c>
      <c r="L100" s="15">
        <f>IF(AND(800&gt;=$E100, 800&lt;=$F100), ROUND(Cp_Database_200!$F100 + Cp_Database_200!$G100*0.8 + Cp_Database_200!$H100*0.64 + Cp_Database_200!$I100*0.512 + Cp_Database_200!$J100/0.64, 2), "-")</f>
        <v>194.05</v>
      </c>
      <c r="M100" s="15">
        <f>IF(AND(1000&gt;=$E100, 1000&lt;=$F100), ROUND(Cp_Database_200!$F100 + Cp_Database_200!$G100*1 + Cp_Database_200!$H100*1 + Cp_Database_200!$I100*1 + Cp_Database_200!$J100/1, 2), "-")</f>
        <v>215.38</v>
      </c>
      <c r="N100" s="15" t="str">
        <f>IF(AND(1200&gt;=$E100, 1200&lt;=$F100), ROUND(Cp_Database_200!$F100 + Cp_Database_200!$G100*1.2 + Cp_Database_200!$H100*1.44 + Cp_Database_200!$I100*1.728 + Cp_Database_200!$J100/1.44, 2), "-")</f>
        <v>-</v>
      </c>
      <c r="O100" s="15" t="str">
        <f>IF(AND(1500&gt;=$E100, 1500&lt;=$F100), ROUND(Cp_Database_200!$F100 + Cp_Database_200!$G100*1.5 + Cp_Database_200!$H100*2.25 + Cp_Database_200!$I100*3.375 + Cp_Database_200!$J100/2.25, 2), "-")</f>
        <v>-</v>
      </c>
      <c r="P100" s="15" t="str">
        <f>IF(AND(2000&gt;=$E100, 2000&lt;=$F100), ROUND(Cp_Database_200!$F100 + Cp_Database_200!$G100*2 + Cp_Database_200!$H100*4 + Cp_Database_200!$I100*8 + Cp_Database_200!$J100/4, 2), "-")</f>
        <v>-</v>
      </c>
    </row>
    <row r="101" spans="1:16" ht="15" x14ac:dyDescent="0.3">
      <c r="A101" s="8">
        <f>Cp_Database_200!A101</f>
        <v>100</v>
      </c>
      <c r="B101" s="9" t="str">
        <f>Cp_Database_200!B101</f>
        <v>Potassium Sulfate</v>
      </c>
      <c r="C101" s="10" t="str">
        <f>Cp_Database_200!C101</f>
        <v>K2SO4</v>
      </c>
      <c r="D101" s="9" t="str">
        <f>Cp_Database_200!E101</f>
        <v>Sulfate</v>
      </c>
      <c r="E101" s="12">
        <f>Cp_Database_200!K101</f>
        <v>298</v>
      </c>
      <c r="F101" s="12">
        <f>Cp_Database_200!L101</f>
        <v>1200</v>
      </c>
      <c r="G101" s="16">
        <f>IF(AND(298.15&gt;=$E101, 298.15&lt;=$F101), ROUND(Cp_Database_200!$F101 + Cp_Database_200!$G101*0.29815 + Cp_Database_200!$H101*0.08889342 + Cp_Database_200!$I101*0.02650357 + Cp_Database_200!$J101/0.08889342, 2), "-")</f>
        <v>131.34</v>
      </c>
      <c r="H101" s="16">
        <f>IF(AND(400&gt;=$E101, 400&lt;=$F101), ROUND(Cp_Database_200!$F101 + Cp_Database_200!$G101*0.4 + Cp_Database_200!$H101*0.16 + Cp_Database_200!$I101*0.064 + Cp_Database_200!$J101/0.16, 2), "-")</f>
        <v>147.5</v>
      </c>
      <c r="I101" s="16">
        <f>IF(AND(500&gt;=$E101, 500&lt;=$F101), ROUND(Cp_Database_200!$F101 + Cp_Database_200!$G101*0.5 + Cp_Database_200!$H101*0.25 + Cp_Database_200!$I101*0.125 + Cp_Database_200!$J101/0.25, 2), "-")</f>
        <v>160.56</v>
      </c>
      <c r="J101" s="16">
        <f>IF(AND(600&gt;=$E101, 600&lt;=$F101), ROUND(Cp_Database_200!$F101 + Cp_Database_200!$G101*0.6 + Cp_Database_200!$H101*0.36 + Cp_Database_200!$I101*0.216 + Cp_Database_200!$J101/0.36, 2), "-")</f>
        <v>173.23</v>
      </c>
      <c r="K101" s="16">
        <f>IF(AND(700&gt;=$E101, 700&lt;=$F101), ROUND(Cp_Database_200!$F101 + Cp_Database_200!$G101*0.7 + Cp_Database_200!$H101*0.49 + Cp_Database_200!$I101*0.343 + Cp_Database_200!$J101/0.49, 2), "-")</f>
        <v>186.13</v>
      </c>
      <c r="L101" s="16">
        <f>IF(AND(800&gt;=$E101, 800&lt;=$F101), ROUND(Cp_Database_200!$F101 + Cp_Database_200!$G101*0.8 + Cp_Database_200!$H101*0.64 + Cp_Database_200!$I101*0.512 + Cp_Database_200!$J101/0.64, 2), "-")</f>
        <v>199.36</v>
      </c>
      <c r="M101" s="16">
        <f>IF(AND(1000&gt;=$E101, 1000&lt;=$F101), ROUND(Cp_Database_200!$F101 + Cp_Database_200!$G101*1 + Cp_Database_200!$H101*1 + Cp_Database_200!$I101*1 + Cp_Database_200!$J101/1, 2), "-")</f>
        <v>226.31</v>
      </c>
      <c r="N101" s="16">
        <f>IF(AND(1200&gt;=$E101, 1200&lt;=$F101), ROUND(Cp_Database_200!$F101 + Cp_Database_200!$G101*1.2 + Cp_Database_200!$H101*1.44 + Cp_Database_200!$I101*1.728 + Cp_Database_200!$J101/1.44, 2), "-")</f>
        <v>252.45</v>
      </c>
      <c r="O101" s="16" t="str">
        <f>IF(AND(1500&gt;=$E101, 1500&lt;=$F101), ROUND(Cp_Database_200!$F101 + Cp_Database_200!$G101*1.5 + Cp_Database_200!$H101*2.25 + Cp_Database_200!$I101*3.375 + Cp_Database_200!$J101/2.25, 2), "-")</f>
        <v>-</v>
      </c>
      <c r="P101" s="16" t="str">
        <f>IF(AND(2000&gt;=$E101, 2000&lt;=$F101), ROUND(Cp_Database_200!$F101 + Cp_Database_200!$G101*2 + Cp_Database_200!$H101*4 + Cp_Database_200!$I101*8 + Cp_Database_200!$J101/4, 2), "-")</f>
        <v>-</v>
      </c>
    </row>
    <row r="102" spans="1:16" ht="15" x14ac:dyDescent="0.3">
      <c r="A102" s="2">
        <f>Cp_Database_200!A102</f>
        <v>101</v>
      </c>
      <c r="B102" s="3" t="str">
        <f>Cp_Database_200!B102</f>
        <v>Sodium Metasilicate</v>
      </c>
      <c r="C102" s="4" t="str">
        <f>Cp_Database_200!C102</f>
        <v>Na2SiO3</v>
      </c>
      <c r="D102" s="3" t="str">
        <f>Cp_Database_200!E102</f>
        <v>Refractory &amp; Mineral</v>
      </c>
      <c r="E102" s="6">
        <f>Cp_Database_200!K102</f>
        <v>298</v>
      </c>
      <c r="F102" s="6">
        <f>Cp_Database_200!L102</f>
        <v>1362</v>
      </c>
      <c r="G102" s="15">
        <f>IF(AND(298.15&gt;=$E102, 298.15&lt;=$F102), ROUND(Cp_Database_200!$F102 + Cp_Database_200!$G102*0.29815 + Cp_Database_200!$H102*0.08889342 + Cp_Database_200!$I102*0.02650357 + Cp_Database_200!$J102/0.08889342, 2), "-")</f>
        <v>111.78</v>
      </c>
      <c r="H102" s="15">
        <f>IF(AND(400&gt;=$E102, 400&lt;=$F102), ROUND(Cp_Database_200!$F102 + Cp_Database_200!$G102*0.4 + Cp_Database_200!$H102*0.16 + Cp_Database_200!$I102*0.064 + Cp_Database_200!$J102/0.16, 2), "-")</f>
        <v>128.47</v>
      </c>
      <c r="I102" s="15">
        <f>IF(AND(500&gt;=$E102, 500&lt;=$F102), ROUND(Cp_Database_200!$F102 + Cp_Database_200!$G102*0.5 + Cp_Database_200!$H102*0.25 + Cp_Database_200!$I102*0.125 + Cp_Database_200!$J102/0.25, 2), "-")</f>
        <v>138.94999999999999</v>
      </c>
      <c r="J102" s="15">
        <f>IF(AND(600&gt;=$E102, 600&lt;=$F102), ROUND(Cp_Database_200!$F102 + Cp_Database_200!$G102*0.6 + Cp_Database_200!$H102*0.36 + Cp_Database_200!$I102*0.216 + Cp_Database_200!$J102/0.36, 2), "-")</f>
        <v>146.94</v>
      </c>
      <c r="K102" s="15">
        <f>IF(AND(700&gt;=$E102, 700&lt;=$F102), ROUND(Cp_Database_200!$F102 + Cp_Database_200!$G102*0.7 + Cp_Database_200!$H102*0.49 + Cp_Database_200!$I102*0.343 + Cp_Database_200!$J102/0.49, 2), "-")</f>
        <v>153.58000000000001</v>
      </c>
      <c r="L102" s="15">
        <f>IF(AND(800&gt;=$E102, 800&lt;=$F102), ROUND(Cp_Database_200!$F102 + Cp_Database_200!$G102*0.8 + Cp_Database_200!$H102*0.64 + Cp_Database_200!$I102*0.512 + Cp_Database_200!$J102/0.64, 2), "-")</f>
        <v>159.38</v>
      </c>
      <c r="M102" s="15">
        <f>IF(AND(1000&gt;=$E102, 1000&lt;=$F102), ROUND(Cp_Database_200!$F102 + Cp_Database_200!$G102*1 + Cp_Database_200!$H102*1 + Cp_Database_200!$I102*1 + Cp_Database_200!$J102/1, 2), "-")</f>
        <v>169.3</v>
      </c>
      <c r="N102" s="15">
        <f>IF(AND(1200&gt;=$E102, 1200&lt;=$F102), ROUND(Cp_Database_200!$F102 + Cp_Database_200!$G102*1.2 + Cp_Database_200!$H102*1.44 + Cp_Database_200!$I102*1.728 + Cp_Database_200!$J102/1.44, 2), "-")</f>
        <v>177.7</v>
      </c>
      <c r="O102" s="15" t="str">
        <f>IF(AND(1500&gt;=$E102, 1500&lt;=$F102), ROUND(Cp_Database_200!$F102 + Cp_Database_200!$G102*1.5 + Cp_Database_200!$H102*2.25 + Cp_Database_200!$I102*3.375 + Cp_Database_200!$J102/2.25, 2), "-")</f>
        <v>-</v>
      </c>
      <c r="P102" s="15" t="str">
        <f>IF(AND(2000&gt;=$E102, 2000&lt;=$F102), ROUND(Cp_Database_200!$F102 + Cp_Database_200!$G102*2 + Cp_Database_200!$H102*4 + Cp_Database_200!$I102*8 + Cp_Database_200!$J102/4, 2), "-")</f>
        <v>-</v>
      </c>
    </row>
    <row r="103" spans="1:16" ht="15" x14ac:dyDescent="0.3">
      <c r="A103" s="8">
        <f>Cp_Database_200!A103</f>
        <v>102</v>
      </c>
      <c r="B103" s="9" t="str">
        <f>Cp_Database_200!B103</f>
        <v>Potassium Metasilicate</v>
      </c>
      <c r="C103" s="10" t="str">
        <f>Cp_Database_200!C103</f>
        <v>K2SiO3</v>
      </c>
      <c r="D103" s="9" t="str">
        <f>Cp_Database_200!E103</f>
        <v>Refractory &amp; Mineral</v>
      </c>
      <c r="E103" s="12">
        <f>Cp_Database_200!K103</f>
        <v>298</v>
      </c>
      <c r="F103" s="12">
        <f>Cp_Database_200!L103</f>
        <v>1249</v>
      </c>
      <c r="G103" s="16">
        <f>IF(AND(298.15&gt;=$E103, 298.15&lt;=$F103), ROUND(Cp_Database_200!$F103 + Cp_Database_200!$G103*0.29815 + Cp_Database_200!$H103*0.08889342 + Cp_Database_200!$I103*0.02650357 + Cp_Database_200!$J103/0.08889342, 2), "-")</f>
        <v>118.14</v>
      </c>
      <c r="H103" s="16">
        <f>IF(AND(400&gt;=$E103, 400&lt;=$F103), ROUND(Cp_Database_200!$F103 + Cp_Database_200!$G103*0.4 + Cp_Database_200!$H103*0.16 + Cp_Database_200!$I103*0.064 + Cp_Database_200!$J103/0.16, 2), "-")</f>
        <v>136.61000000000001</v>
      </c>
      <c r="I103" s="16">
        <f>IF(AND(500&gt;=$E103, 500&lt;=$F103), ROUND(Cp_Database_200!$F103 + Cp_Database_200!$G103*0.5 + Cp_Database_200!$H103*0.25 + Cp_Database_200!$I103*0.125 + Cp_Database_200!$J103/0.25, 2), "-")</f>
        <v>148.43</v>
      </c>
      <c r="J103" s="16">
        <f>IF(AND(600&gt;=$E103, 600&lt;=$F103), ROUND(Cp_Database_200!$F103 + Cp_Database_200!$G103*0.6 + Cp_Database_200!$H103*0.36 + Cp_Database_200!$I103*0.216 + Cp_Database_200!$J103/0.36, 2), "-")</f>
        <v>157.29</v>
      </c>
      <c r="K103" s="16">
        <f>IF(AND(700&gt;=$E103, 700&lt;=$F103), ROUND(Cp_Database_200!$F103 + Cp_Database_200!$G103*0.7 + Cp_Database_200!$H103*0.49 + Cp_Database_200!$I103*0.343 + Cp_Database_200!$J103/0.49, 2), "-")</f>
        <v>164.35</v>
      </c>
      <c r="L103" s="16">
        <f>IF(AND(800&gt;=$E103, 800&lt;=$F103), ROUND(Cp_Database_200!$F103 + Cp_Database_200!$G103*0.8 + Cp_Database_200!$H103*0.64 + Cp_Database_200!$I103*0.512 + Cp_Database_200!$J103/0.64, 2), "-")</f>
        <v>170.14</v>
      </c>
      <c r="M103" s="16">
        <f>IF(AND(1000&gt;=$E103, 1000&lt;=$F103), ROUND(Cp_Database_200!$F103 + Cp_Database_200!$G103*1 + Cp_Database_200!$H103*1 + Cp_Database_200!$I103*1 + Cp_Database_200!$J103/1, 2), "-")</f>
        <v>179.01</v>
      </c>
      <c r="N103" s="16">
        <f>IF(AND(1200&gt;=$E103, 1200&lt;=$F103), ROUND(Cp_Database_200!$F103 + Cp_Database_200!$G103*1.2 + Cp_Database_200!$H103*1.44 + Cp_Database_200!$I103*1.728 + Cp_Database_200!$J103/1.44, 2), "-")</f>
        <v>185.33</v>
      </c>
      <c r="O103" s="16" t="str">
        <f>IF(AND(1500&gt;=$E103, 1500&lt;=$F103), ROUND(Cp_Database_200!$F103 + Cp_Database_200!$G103*1.5 + Cp_Database_200!$H103*2.25 + Cp_Database_200!$I103*3.375 + Cp_Database_200!$J103/2.25, 2), "-")</f>
        <v>-</v>
      </c>
      <c r="P103" s="16" t="str">
        <f>IF(AND(2000&gt;=$E103, 2000&lt;=$F103), ROUND(Cp_Database_200!$F103 + Cp_Database_200!$G103*2 + Cp_Database_200!$H103*4 + Cp_Database_200!$I103*8 + Cp_Database_200!$J103/4, 2), "-")</f>
        <v>-</v>
      </c>
    </row>
    <row r="104" spans="1:16" ht="15" x14ac:dyDescent="0.3">
      <c r="A104" s="2">
        <f>Cp_Database_200!A104</f>
        <v>103</v>
      </c>
      <c r="B104" s="3" t="str">
        <f>Cp_Database_200!B104</f>
        <v>Lithium Metasilicate</v>
      </c>
      <c r="C104" s="4" t="str">
        <f>Cp_Database_200!C104</f>
        <v>Li2SiO3</v>
      </c>
      <c r="D104" s="3" t="str">
        <f>Cp_Database_200!E104</f>
        <v>Refractory &amp; Mineral</v>
      </c>
      <c r="E104" s="6">
        <f>Cp_Database_200!K104</f>
        <v>298</v>
      </c>
      <c r="F104" s="6">
        <f>Cp_Database_200!L104</f>
        <v>1474</v>
      </c>
      <c r="G104" s="15">
        <f>IF(AND(298.15&gt;=$E104, 298.15&lt;=$F104), ROUND(Cp_Database_200!$F104 + Cp_Database_200!$G104*0.29815 + Cp_Database_200!$H104*0.08889342 + Cp_Database_200!$I104*0.02650357 + Cp_Database_200!$J104/0.08889342, 2), "-")</f>
        <v>100.66</v>
      </c>
      <c r="H104" s="15">
        <f>IF(AND(400&gt;=$E104, 400&lt;=$F104), ROUND(Cp_Database_200!$F104 + Cp_Database_200!$G104*0.4 + Cp_Database_200!$H104*0.16 + Cp_Database_200!$I104*0.064 + Cp_Database_200!$J104/0.16, 2), "-")</f>
        <v>118.19</v>
      </c>
      <c r="I104" s="15">
        <f>IF(AND(500&gt;=$E104, 500&lt;=$F104), ROUND(Cp_Database_200!$F104 + Cp_Database_200!$G104*0.5 + Cp_Database_200!$H104*0.25 + Cp_Database_200!$I104*0.125 + Cp_Database_200!$J104/0.25, 2), "-")</f>
        <v>127.93</v>
      </c>
      <c r="J104" s="15">
        <f>IF(AND(600&gt;=$E104, 600&lt;=$F104), ROUND(Cp_Database_200!$F104 + Cp_Database_200!$G104*0.6 + Cp_Database_200!$H104*0.36 + Cp_Database_200!$I104*0.216 + Cp_Database_200!$J104/0.36, 2), "-")</f>
        <v>134.69999999999999</v>
      </c>
      <c r="K104" s="15">
        <f>IF(AND(700&gt;=$E104, 700&lt;=$F104), ROUND(Cp_Database_200!$F104 + Cp_Database_200!$G104*0.7 + Cp_Database_200!$H104*0.49 + Cp_Database_200!$I104*0.343 + Cp_Database_200!$J104/0.49, 2), "-")</f>
        <v>140.01</v>
      </c>
      <c r="L104" s="15">
        <f>IF(AND(800&gt;=$E104, 800&lt;=$F104), ROUND(Cp_Database_200!$F104 + Cp_Database_200!$G104*0.8 + Cp_Database_200!$H104*0.64 + Cp_Database_200!$I104*0.512 + Cp_Database_200!$J104/0.64, 2), "-")</f>
        <v>144.47999999999999</v>
      </c>
      <c r="M104" s="15">
        <f>IF(AND(1000&gt;=$E104, 1000&lt;=$F104), ROUND(Cp_Database_200!$F104 + Cp_Database_200!$G104*1 + Cp_Database_200!$H104*1 + Cp_Database_200!$I104*1 + Cp_Database_200!$J104/1, 2), "-")</f>
        <v>152</v>
      </c>
      <c r="N104" s="15">
        <f>IF(AND(1200&gt;=$E104, 1200&lt;=$F104), ROUND(Cp_Database_200!$F104 + Cp_Database_200!$G104*1.2 + Cp_Database_200!$H104*1.44 + Cp_Database_200!$I104*1.728 + Cp_Database_200!$J104/1.44, 2), "-")</f>
        <v>158.38</v>
      </c>
      <c r="O104" s="15" t="str">
        <f>IF(AND(1500&gt;=$E104, 1500&lt;=$F104), ROUND(Cp_Database_200!$F104 + Cp_Database_200!$G104*1.5 + Cp_Database_200!$H104*2.25 + Cp_Database_200!$I104*3.375 + Cp_Database_200!$J104/2.25, 2), "-")</f>
        <v>-</v>
      </c>
      <c r="P104" s="15" t="str">
        <f>IF(AND(2000&gt;=$E104, 2000&lt;=$F104), ROUND(Cp_Database_200!$F104 + Cp_Database_200!$G104*2 + Cp_Database_200!$H104*4 + Cp_Database_200!$I104*8 + Cp_Database_200!$J104/4, 2), "-")</f>
        <v>-</v>
      </c>
    </row>
    <row r="105" spans="1:16" ht="15" x14ac:dyDescent="0.3">
      <c r="A105" s="8">
        <f>Cp_Database_200!A105</f>
        <v>104</v>
      </c>
      <c r="B105" s="9" t="str">
        <f>Cp_Database_200!B105</f>
        <v>Oxygen</v>
      </c>
      <c r="C105" s="10" t="str">
        <f>Cp_Database_200!C105</f>
        <v>O2</v>
      </c>
      <c r="D105" s="9" t="str">
        <f>Cp_Database_200!E105</f>
        <v>Technological Fluid &amp; Gas</v>
      </c>
      <c r="E105" s="12">
        <f>Cp_Database_200!K105</f>
        <v>100</v>
      </c>
      <c r="F105" s="12">
        <f>Cp_Database_200!L105</f>
        <v>700</v>
      </c>
      <c r="G105" s="16">
        <f>IF(AND(298.15&gt;=$E105, 298.15&lt;=$F105), ROUND(Cp_Database_200!$F105 + Cp_Database_200!$G105*0.29815 + Cp_Database_200!$H105*0.08889342 + Cp_Database_200!$I105*0.02650357 + Cp_Database_200!$J105/0.08889342, 2), "-")</f>
        <v>29.38</v>
      </c>
      <c r="H105" s="16">
        <f>IF(AND(400&gt;=$E105, 400&lt;=$F105), ROUND(Cp_Database_200!$F105 + Cp_Database_200!$G105*0.4 + Cp_Database_200!$H105*0.16 + Cp_Database_200!$I105*0.064 + Cp_Database_200!$J105/0.16, 2), "-")</f>
        <v>30.1</v>
      </c>
      <c r="I105" s="16">
        <f>IF(AND(500&gt;=$E105, 500&lt;=$F105), ROUND(Cp_Database_200!$F105 + Cp_Database_200!$G105*0.5 + Cp_Database_200!$H105*0.25 + Cp_Database_200!$I105*0.125 + Cp_Database_200!$J105/0.25, 2), "-")</f>
        <v>31.08</v>
      </c>
      <c r="J105" s="16">
        <f>IF(AND(600&gt;=$E105, 600&lt;=$F105), ROUND(Cp_Database_200!$F105 + Cp_Database_200!$G105*0.6 + Cp_Database_200!$H105*0.36 + Cp_Database_200!$I105*0.216 + Cp_Database_200!$J105/0.36, 2), "-")</f>
        <v>32.11</v>
      </c>
      <c r="K105" s="16">
        <f>IF(AND(700&gt;=$E105, 700&lt;=$F105), ROUND(Cp_Database_200!$F105 + Cp_Database_200!$G105*0.7 + Cp_Database_200!$H105*0.49 + Cp_Database_200!$I105*0.343 + Cp_Database_200!$J105/0.49, 2), "-")</f>
        <v>32.979999999999997</v>
      </c>
      <c r="L105" s="16" t="str">
        <f>IF(AND(800&gt;=$E105, 800&lt;=$F105), ROUND(Cp_Database_200!$F105 + Cp_Database_200!$G105*0.8 + Cp_Database_200!$H105*0.64 + Cp_Database_200!$I105*0.512 + Cp_Database_200!$J105/0.64, 2), "-")</f>
        <v>-</v>
      </c>
      <c r="M105" s="16" t="str">
        <f>IF(AND(1000&gt;=$E105, 1000&lt;=$F105), ROUND(Cp_Database_200!$F105 + Cp_Database_200!$G105*1 + Cp_Database_200!$H105*1 + Cp_Database_200!$I105*1 + Cp_Database_200!$J105/1, 2), "-")</f>
        <v>-</v>
      </c>
      <c r="N105" s="16" t="str">
        <f>IF(AND(1200&gt;=$E105, 1200&lt;=$F105), ROUND(Cp_Database_200!$F105 + Cp_Database_200!$G105*1.2 + Cp_Database_200!$H105*1.44 + Cp_Database_200!$I105*1.728 + Cp_Database_200!$J105/1.44, 2), "-")</f>
        <v>-</v>
      </c>
      <c r="O105" s="16" t="str">
        <f>IF(AND(1500&gt;=$E105, 1500&lt;=$F105), ROUND(Cp_Database_200!$F105 + Cp_Database_200!$G105*1.5 + Cp_Database_200!$H105*2.25 + Cp_Database_200!$I105*3.375 + Cp_Database_200!$J105/2.25, 2), "-")</f>
        <v>-</v>
      </c>
      <c r="P105" s="16" t="str">
        <f>IF(AND(2000&gt;=$E105, 2000&lt;=$F105), ROUND(Cp_Database_200!$F105 + Cp_Database_200!$G105*2 + Cp_Database_200!$H105*4 + Cp_Database_200!$I105*8 + Cp_Database_200!$J105/4, 2), "-")</f>
        <v>-</v>
      </c>
    </row>
    <row r="106" spans="1:16" ht="15" x14ac:dyDescent="0.3">
      <c r="A106" s="2">
        <f>Cp_Database_200!A106</f>
        <v>105</v>
      </c>
      <c r="B106" s="3" t="str">
        <f>Cp_Database_200!B106</f>
        <v>Nitrogen</v>
      </c>
      <c r="C106" s="4" t="str">
        <f>Cp_Database_200!C106</f>
        <v>N2</v>
      </c>
      <c r="D106" s="3" t="str">
        <f>Cp_Database_200!E106</f>
        <v>Technological Fluid &amp; Gas</v>
      </c>
      <c r="E106" s="6">
        <f>Cp_Database_200!K106</f>
        <v>100</v>
      </c>
      <c r="F106" s="6">
        <f>Cp_Database_200!L106</f>
        <v>500</v>
      </c>
      <c r="G106" s="15">
        <f>IF(AND(298.15&gt;=$E106, 298.15&lt;=$F106), ROUND(Cp_Database_200!$F106 + Cp_Database_200!$G106*0.29815 + Cp_Database_200!$H106*0.08889342 + Cp_Database_200!$I106*0.02650357 + Cp_Database_200!$J106/0.08889342, 2), "-")</f>
        <v>29.12</v>
      </c>
      <c r="H106" s="15">
        <f>IF(AND(400&gt;=$E106, 400&lt;=$F106), ROUND(Cp_Database_200!$F106 + Cp_Database_200!$G106*0.4 + Cp_Database_200!$H106*0.16 + Cp_Database_200!$I106*0.064 + Cp_Database_200!$J106/0.16, 2), "-")</f>
        <v>29.25</v>
      </c>
      <c r="I106" s="15">
        <f>IF(AND(500&gt;=$E106, 500&lt;=$F106), ROUND(Cp_Database_200!$F106 + Cp_Database_200!$G106*0.5 + Cp_Database_200!$H106*0.25 + Cp_Database_200!$I106*0.125 + Cp_Database_200!$J106/0.25, 2), "-")</f>
        <v>29.58</v>
      </c>
      <c r="J106" s="15" t="str">
        <f>IF(AND(600&gt;=$E106, 600&lt;=$F106), ROUND(Cp_Database_200!$F106 + Cp_Database_200!$G106*0.6 + Cp_Database_200!$H106*0.36 + Cp_Database_200!$I106*0.216 + Cp_Database_200!$J106/0.36, 2), "-")</f>
        <v>-</v>
      </c>
      <c r="K106" s="15" t="str">
        <f>IF(AND(700&gt;=$E106, 700&lt;=$F106), ROUND(Cp_Database_200!$F106 + Cp_Database_200!$G106*0.7 + Cp_Database_200!$H106*0.49 + Cp_Database_200!$I106*0.343 + Cp_Database_200!$J106/0.49, 2), "-")</f>
        <v>-</v>
      </c>
      <c r="L106" s="15" t="str">
        <f>IF(AND(800&gt;=$E106, 800&lt;=$F106), ROUND(Cp_Database_200!$F106 + Cp_Database_200!$G106*0.8 + Cp_Database_200!$H106*0.64 + Cp_Database_200!$I106*0.512 + Cp_Database_200!$J106/0.64, 2), "-")</f>
        <v>-</v>
      </c>
      <c r="M106" s="15" t="str">
        <f>IF(AND(1000&gt;=$E106, 1000&lt;=$F106), ROUND(Cp_Database_200!$F106 + Cp_Database_200!$G106*1 + Cp_Database_200!$H106*1 + Cp_Database_200!$I106*1 + Cp_Database_200!$J106/1, 2), "-")</f>
        <v>-</v>
      </c>
      <c r="N106" s="15" t="str">
        <f>IF(AND(1200&gt;=$E106, 1200&lt;=$F106), ROUND(Cp_Database_200!$F106 + Cp_Database_200!$G106*1.2 + Cp_Database_200!$H106*1.44 + Cp_Database_200!$I106*1.728 + Cp_Database_200!$J106/1.44, 2), "-")</f>
        <v>-</v>
      </c>
      <c r="O106" s="15" t="str">
        <f>IF(AND(1500&gt;=$E106, 1500&lt;=$F106), ROUND(Cp_Database_200!$F106 + Cp_Database_200!$G106*1.5 + Cp_Database_200!$H106*2.25 + Cp_Database_200!$I106*3.375 + Cp_Database_200!$J106/2.25, 2), "-")</f>
        <v>-</v>
      </c>
      <c r="P106" s="15" t="str">
        <f>IF(AND(2000&gt;=$E106, 2000&lt;=$F106), ROUND(Cp_Database_200!$F106 + Cp_Database_200!$G106*2 + Cp_Database_200!$H106*4 + Cp_Database_200!$I106*8 + Cp_Database_200!$J106/4, 2), "-")</f>
        <v>-</v>
      </c>
    </row>
    <row r="107" spans="1:16" ht="15" x14ac:dyDescent="0.3">
      <c r="A107" s="8">
        <f>Cp_Database_200!A107</f>
        <v>106</v>
      </c>
      <c r="B107" s="9" t="str">
        <f>Cp_Database_200!B107</f>
        <v>Hydrogen</v>
      </c>
      <c r="C107" s="10" t="str">
        <f>Cp_Database_200!C107</f>
        <v>H2</v>
      </c>
      <c r="D107" s="9" t="str">
        <f>Cp_Database_200!E107</f>
        <v>Technological Fluid &amp; Gas</v>
      </c>
      <c r="E107" s="12">
        <f>Cp_Database_200!K107</f>
        <v>298</v>
      </c>
      <c r="F107" s="12">
        <f>Cp_Database_200!L107</f>
        <v>1000</v>
      </c>
      <c r="G107" s="16">
        <f>IF(AND(298.15&gt;=$E107, 298.15&lt;=$F107), ROUND(Cp_Database_200!$F107 + Cp_Database_200!$G107*0.29815 + Cp_Database_200!$H107*0.08889342 + Cp_Database_200!$I107*0.02650357 + Cp_Database_200!$J107/0.08889342, 2), "-")</f>
        <v>28.84</v>
      </c>
      <c r="H107" s="16">
        <f>IF(AND(400&gt;=$E107, 400&lt;=$F107), ROUND(Cp_Database_200!$F107 + Cp_Database_200!$G107*0.4 + Cp_Database_200!$H107*0.16 + Cp_Database_200!$I107*0.064 + Cp_Database_200!$J107/0.16, 2), "-")</f>
        <v>29.18</v>
      </c>
      <c r="I107" s="16">
        <f>IF(AND(500&gt;=$E107, 500&lt;=$F107), ROUND(Cp_Database_200!$F107 + Cp_Database_200!$G107*0.5 + Cp_Database_200!$H107*0.25 + Cp_Database_200!$I107*0.125 + Cp_Database_200!$J107/0.25, 2), "-")</f>
        <v>29.26</v>
      </c>
      <c r="J107" s="16">
        <f>IF(AND(600&gt;=$E107, 600&lt;=$F107), ROUND(Cp_Database_200!$F107 + Cp_Database_200!$G107*0.6 + Cp_Database_200!$H107*0.36 + Cp_Database_200!$I107*0.216 + Cp_Database_200!$J107/0.36, 2), "-")</f>
        <v>29.32</v>
      </c>
      <c r="K107" s="16">
        <f>IF(AND(700&gt;=$E107, 700&lt;=$F107), ROUND(Cp_Database_200!$F107 + Cp_Database_200!$G107*0.7 + Cp_Database_200!$H107*0.49 + Cp_Database_200!$I107*0.343 + Cp_Database_200!$J107/0.49, 2), "-")</f>
        <v>29.44</v>
      </c>
      <c r="L107" s="16">
        <f>IF(AND(800&gt;=$E107, 800&lt;=$F107), ROUND(Cp_Database_200!$F107 + Cp_Database_200!$G107*0.8 + Cp_Database_200!$H107*0.64 + Cp_Database_200!$I107*0.512 + Cp_Database_200!$J107/0.64, 2), "-")</f>
        <v>29.62</v>
      </c>
      <c r="M107" s="16">
        <f>IF(AND(1000&gt;=$E107, 1000&lt;=$F107), ROUND(Cp_Database_200!$F107 + Cp_Database_200!$G107*1 + Cp_Database_200!$H107*1 + Cp_Database_200!$I107*1 + Cp_Database_200!$J107/1, 2), "-")</f>
        <v>30.2</v>
      </c>
      <c r="N107" s="16" t="str">
        <f>IF(AND(1200&gt;=$E107, 1200&lt;=$F107), ROUND(Cp_Database_200!$F107 + Cp_Database_200!$G107*1.2 + Cp_Database_200!$H107*1.44 + Cp_Database_200!$I107*1.728 + Cp_Database_200!$J107/1.44, 2), "-")</f>
        <v>-</v>
      </c>
      <c r="O107" s="16" t="str">
        <f>IF(AND(1500&gt;=$E107, 1500&lt;=$F107), ROUND(Cp_Database_200!$F107 + Cp_Database_200!$G107*1.5 + Cp_Database_200!$H107*2.25 + Cp_Database_200!$I107*3.375 + Cp_Database_200!$J107/2.25, 2), "-")</f>
        <v>-</v>
      </c>
      <c r="P107" s="16" t="str">
        <f>IF(AND(2000&gt;=$E107, 2000&lt;=$F107), ROUND(Cp_Database_200!$F107 + Cp_Database_200!$G107*2 + Cp_Database_200!$H107*4 + Cp_Database_200!$I107*8 + Cp_Database_200!$J107/4, 2), "-")</f>
        <v>-</v>
      </c>
    </row>
    <row r="108" spans="1:16" ht="15" x14ac:dyDescent="0.3">
      <c r="A108" s="2">
        <f>Cp_Database_200!A108</f>
        <v>107</v>
      </c>
      <c r="B108" s="3" t="str">
        <f>Cp_Database_200!B108</f>
        <v>Carbon Monoxide</v>
      </c>
      <c r="C108" s="4" t="str">
        <f>Cp_Database_200!C108</f>
        <v>CO</v>
      </c>
      <c r="D108" s="3" t="str">
        <f>Cp_Database_200!E108</f>
        <v>Technological Fluid &amp; Gas</v>
      </c>
      <c r="E108" s="6">
        <f>Cp_Database_200!K108</f>
        <v>298</v>
      </c>
      <c r="F108" s="6">
        <f>Cp_Database_200!L108</f>
        <v>1300</v>
      </c>
      <c r="G108" s="15">
        <f>IF(AND(298.15&gt;=$E108, 298.15&lt;=$F108), ROUND(Cp_Database_200!$F108 + Cp_Database_200!$G108*0.29815 + Cp_Database_200!$H108*0.08889342 + Cp_Database_200!$I108*0.02650357 + Cp_Database_200!$J108/0.08889342, 2), "-")</f>
        <v>29.15</v>
      </c>
      <c r="H108" s="15">
        <f>IF(AND(400&gt;=$E108, 400&lt;=$F108), ROUND(Cp_Database_200!$F108 + Cp_Database_200!$G108*0.4 + Cp_Database_200!$H108*0.16 + Cp_Database_200!$I108*0.064 + Cp_Database_200!$J108/0.16, 2), "-")</f>
        <v>29.3</v>
      </c>
      <c r="I108" s="15">
        <f>IF(AND(500&gt;=$E108, 500&lt;=$F108), ROUND(Cp_Database_200!$F108 + Cp_Database_200!$G108*0.5 + Cp_Database_200!$H108*0.25 + Cp_Database_200!$I108*0.125 + Cp_Database_200!$J108/0.25, 2), "-")</f>
        <v>29.82</v>
      </c>
      <c r="J108" s="15">
        <f>IF(AND(600&gt;=$E108, 600&lt;=$F108), ROUND(Cp_Database_200!$F108 + Cp_Database_200!$G108*0.6 + Cp_Database_200!$H108*0.36 + Cp_Database_200!$I108*0.216 + Cp_Database_200!$J108/0.36, 2), "-")</f>
        <v>30.47</v>
      </c>
      <c r="K108" s="15">
        <f>IF(AND(700&gt;=$E108, 700&lt;=$F108), ROUND(Cp_Database_200!$F108 + Cp_Database_200!$G108*0.7 + Cp_Database_200!$H108*0.49 + Cp_Database_200!$I108*0.343 + Cp_Database_200!$J108/0.49, 2), "-")</f>
        <v>31.17</v>
      </c>
      <c r="L108" s="15">
        <f>IF(AND(800&gt;=$E108, 800&lt;=$F108), ROUND(Cp_Database_200!$F108 + Cp_Database_200!$G108*0.8 + Cp_Database_200!$H108*0.64 + Cp_Database_200!$I108*0.512 + Cp_Database_200!$J108/0.64, 2), "-")</f>
        <v>31.88</v>
      </c>
      <c r="M108" s="15">
        <f>IF(AND(1000&gt;=$E108, 1000&lt;=$F108), ROUND(Cp_Database_200!$F108 + Cp_Database_200!$G108*1 + Cp_Database_200!$H108*1 + Cp_Database_200!$I108*1 + Cp_Database_200!$J108/1, 2), "-")</f>
        <v>33.18</v>
      </c>
      <c r="N108" s="15">
        <f>IF(AND(1200&gt;=$E108, 1200&lt;=$F108), ROUND(Cp_Database_200!$F108 + Cp_Database_200!$G108*1.2 + Cp_Database_200!$H108*1.44 + Cp_Database_200!$I108*1.728 + Cp_Database_200!$J108/1.44, 2), "-")</f>
        <v>34.200000000000003</v>
      </c>
      <c r="O108" s="15" t="str">
        <f>IF(AND(1500&gt;=$E108, 1500&lt;=$F108), ROUND(Cp_Database_200!$F108 + Cp_Database_200!$G108*1.5 + Cp_Database_200!$H108*2.25 + Cp_Database_200!$I108*3.375 + Cp_Database_200!$J108/2.25, 2), "-")</f>
        <v>-</v>
      </c>
      <c r="P108" s="15" t="str">
        <f>IF(AND(2000&gt;=$E108, 2000&lt;=$F108), ROUND(Cp_Database_200!$F108 + Cp_Database_200!$G108*2 + Cp_Database_200!$H108*4 + Cp_Database_200!$I108*8 + Cp_Database_200!$J108/4, 2), "-")</f>
        <v>-</v>
      </c>
    </row>
    <row r="109" spans="1:16" ht="15" x14ac:dyDescent="0.3">
      <c r="A109" s="8">
        <f>Cp_Database_200!A109</f>
        <v>108</v>
      </c>
      <c r="B109" s="9" t="str">
        <f>Cp_Database_200!B109</f>
        <v>Carbon Dioxide</v>
      </c>
      <c r="C109" s="10" t="str">
        <f>Cp_Database_200!C109</f>
        <v>CO2</v>
      </c>
      <c r="D109" s="9" t="str">
        <f>Cp_Database_200!E109</f>
        <v>Technological Fluid &amp; Gas</v>
      </c>
      <c r="E109" s="12">
        <f>Cp_Database_200!K109</f>
        <v>298</v>
      </c>
      <c r="F109" s="12">
        <f>Cp_Database_200!L109</f>
        <v>1200</v>
      </c>
      <c r="G109" s="16">
        <f>IF(AND(298.15&gt;=$E109, 298.15&lt;=$F109), ROUND(Cp_Database_200!$F109 + Cp_Database_200!$G109*0.29815 + Cp_Database_200!$H109*0.08889342 + Cp_Database_200!$I109*0.02650357 + Cp_Database_200!$J109/0.08889342, 2), "-")</f>
        <v>37.130000000000003</v>
      </c>
      <c r="H109" s="16">
        <f>IF(AND(400&gt;=$E109, 400&lt;=$F109), ROUND(Cp_Database_200!$F109 + Cp_Database_200!$G109*0.4 + Cp_Database_200!$H109*0.16 + Cp_Database_200!$I109*0.064 + Cp_Database_200!$J109/0.16, 2), "-")</f>
        <v>41.34</v>
      </c>
      <c r="I109" s="16">
        <f>IF(AND(500&gt;=$E109, 500&lt;=$F109), ROUND(Cp_Database_200!$F109 + Cp_Database_200!$G109*0.5 + Cp_Database_200!$H109*0.25 + Cp_Database_200!$I109*0.125 + Cp_Database_200!$J109/0.25, 2), "-")</f>
        <v>44.61</v>
      </c>
      <c r="J109" s="16">
        <f>IF(AND(600&gt;=$E109, 600&lt;=$F109), ROUND(Cp_Database_200!$F109 + Cp_Database_200!$G109*0.6 + Cp_Database_200!$H109*0.36 + Cp_Database_200!$I109*0.216 + Cp_Database_200!$J109/0.36, 2), "-")</f>
        <v>47.32</v>
      </c>
      <c r="K109" s="16">
        <f>IF(AND(700&gt;=$E109, 700&lt;=$F109), ROUND(Cp_Database_200!$F109 + Cp_Database_200!$G109*0.7 + Cp_Database_200!$H109*0.49 + Cp_Database_200!$I109*0.343 + Cp_Database_200!$J109/0.49, 2), "-")</f>
        <v>49.57</v>
      </c>
      <c r="L109" s="16">
        <f>IF(AND(800&gt;=$E109, 800&lt;=$F109), ROUND(Cp_Database_200!$F109 + Cp_Database_200!$G109*0.8 + Cp_Database_200!$H109*0.64 + Cp_Database_200!$I109*0.512 + Cp_Database_200!$J109/0.64, 2), "-")</f>
        <v>51.44</v>
      </c>
      <c r="M109" s="16">
        <f>IF(AND(1000&gt;=$E109, 1000&lt;=$F109), ROUND(Cp_Database_200!$F109 + Cp_Database_200!$G109*1 + Cp_Database_200!$H109*1 + Cp_Database_200!$I109*1 + Cp_Database_200!$J109/1, 2), "-")</f>
        <v>54.3</v>
      </c>
      <c r="N109" s="16">
        <f>IF(AND(1200&gt;=$E109, 1200&lt;=$F109), ROUND(Cp_Database_200!$F109 + Cp_Database_200!$G109*1.2 + Cp_Database_200!$H109*1.44 + Cp_Database_200!$I109*1.728 + Cp_Database_200!$J109/1.44, 2), "-")</f>
        <v>56.35</v>
      </c>
      <c r="O109" s="16" t="str">
        <f>IF(AND(1500&gt;=$E109, 1500&lt;=$F109), ROUND(Cp_Database_200!$F109 + Cp_Database_200!$G109*1.5 + Cp_Database_200!$H109*2.25 + Cp_Database_200!$I109*3.375 + Cp_Database_200!$J109/2.25, 2), "-")</f>
        <v>-</v>
      </c>
      <c r="P109" s="16" t="str">
        <f>IF(AND(2000&gt;=$E109, 2000&lt;=$F109), ROUND(Cp_Database_200!$F109 + Cp_Database_200!$G109*2 + Cp_Database_200!$H109*4 + Cp_Database_200!$I109*8 + Cp_Database_200!$J109/4, 2), "-")</f>
        <v>-</v>
      </c>
    </row>
    <row r="110" spans="1:16" ht="15" x14ac:dyDescent="0.3">
      <c r="A110" s="2">
        <f>Cp_Database_200!A110</f>
        <v>109</v>
      </c>
      <c r="B110" s="3" t="str">
        <f>Cp_Database_200!B110</f>
        <v>Water / Steam</v>
      </c>
      <c r="C110" s="4" t="str">
        <f>Cp_Database_200!C110</f>
        <v>H2O</v>
      </c>
      <c r="D110" s="3" t="str">
        <f>Cp_Database_200!E110</f>
        <v>Technological Fluid &amp; Gas</v>
      </c>
      <c r="E110" s="6">
        <f>Cp_Database_200!K110</f>
        <v>298</v>
      </c>
      <c r="F110" s="6">
        <f>Cp_Database_200!L110</f>
        <v>500</v>
      </c>
      <c r="G110" s="15">
        <f>IF(AND(298.15&gt;=$E110, 298.15&lt;=$F110), ROUND(Cp_Database_200!$F110 + Cp_Database_200!$G110*0.29815 + Cp_Database_200!$H110*0.08889342 + Cp_Database_200!$I110*0.02650357 + Cp_Database_200!$J110/0.08889342, 2), "-")</f>
        <v>75.37</v>
      </c>
      <c r="H110" s="15">
        <f>IF(AND(400&gt;=$E110, 400&lt;=$F110), ROUND(Cp_Database_200!$F110 + Cp_Database_200!$G110*0.4 + Cp_Database_200!$H110*0.16 + Cp_Database_200!$I110*0.064 + Cp_Database_200!$J110/0.16, 2), "-")</f>
        <v>76.739999999999995</v>
      </c>
      <c r="I110" s="15">
        <f>IF(AND(500&gt;=$E110, 500&lt;=$F110), ROUND(Cp_Database_200!$F110 + Cp_Database_200!$G110*0.5 + Cp_Database_200!$H110*0.25 + Cp_Database_200!$I110*0.125 + Cp_Database_200!$J110/0.25, 2), "-")</f>
        <v>83.66</v>
      </c>
      <c r="J110" s="15" t="str">
        <f>IF(AND(600&gt;=$E110, 600&lt;=$F110), ROUND(Cp_Database_200!$F110 + Cp_Database_200!$G110*0.6 + Cp_Database_200!$H110*0.36 + Cp_Database_200!$I110*0.216 + Cp_Database_200!$J110/0.36, 2), "-")</f>
        <v>-</v>
      </c>
      <c r="K110" s="15" t="str">
        <f>IF(AND(700&gt;=$E110, 700&lt;=$F110), ROUND(Cp_Database_200!$F110 + Cp_Database_200!$G110*0.7 + Cp_Database_200!$H110*0.49 + Cp_Database_200!$I110*0.343 + Cp_Database_200!$J110/0.49, 2), "-")</f>
        <v>-</v>
      </c>
      <c r="L110" s="15" t="str">
        <f>IF(AND(800&gt;=$E110, 800&lt;=$F110), ROUND(Cp_Database_200!$F110 + Cp_Database_200!$G110*0.8 + Cp_Database_200!$H110*0.64 + Cp_Database_200!$I110*0.512 + Cp_Database_200!$J110/0.64, 2), "-")</f>
        <v>-</v>
      </c>
      <c r="M110" s="15" t="str">
        <f>IF(AND(1000&gt;=$E110, 1000&lt;=$F110), ROUND(Cp_Database_200!$F110 + Cp_Database_200!$G110*1 + Cp_Database_200!$H110*1 + Cp_Database_200!$I110*1 + Cp_Database_200!$J110/1, 2), "-")</f>
        <v>-</v>
      </c>
      <c r="N110" s="15" t="str">
        <f>IF(AND(1200&gt;=$E110, 1200&lt;=$F110), ROUND(Cp_Database_200!$F110 + Cp_Database_200!$G110*1.2 + Cp_Database_200!$H110*1.44 + Cp_Database_200!$I110*1.728 + Cp_Database_200!$J110/1.44, 2), "-")</f>
        <v>-</v>
      </c>
      <c r="O110" s="15" t="str">
        <f>IF(AND(1500&gt;=$E110, 1500&lt;=$F110), ROUND(Cp_Database_200!$F110 + Cp_Database_200!$G110*1.5 + Cp_Database_200!$H110*2.25 + Cp_Database_200!$I110*3.375 + Cp_Database_200!$J110/2.25, 2), "-")</f>
        <v>-</v>
      </c>
      <c r="P110" s="15" t="str">
        <f>IF(AND(2000&gt;=$E110, 2000&lt;=$F110), ROUND(Cp_Database_200!$F110 + Cp_Database_200!$G110*2 + Cp_Database_200!$H110*4 + Cp_Database_200!$I110*8 + Cp_Database_200!$J110/4, 2), "-")</f>
        <v>-</v>
      </c>
    </row>
    <row r="111" spans="1:16" ht="15" x14ac:dyDescent="0.3">
      <c r="A111" s="8">
        <f>Cp_Database_200!A111</f>
        <v>110</v>
      </c>
      <c r="B111" s="9" t="str">
        <f>Cp_Database_200!B111</f>
        <v>Ammonia</v>
      </c>
      <c r="C111" s="10" t="str">
        <f>Cp_Database_200!C111</f>
        <v>NH3</v>
      </c>
      <c r="D111" s="9" t="str">
        <f>Cp_Database_200!E111</f>
        <v>Technological Fluid &amp; Gas</v>
      </c>
      <c r="E111" s="12">
        <f>Cp_Database_200!K111</f>
        <v>298</v>
      </c>
      <c r="F111" s="12">
        <f>Cp_Database_200!L111</f>
        <v>1400</v>
      </c>
      <c r="G111" s="16">
        <f>IF(AND(298.15&gt;=$E111, 298.15&lt;=$F111), ROUND(Cp_Database_200!$F111 + Cp_Database_200!$G111*0.29815 + Cp_Database_200!$H111*0.08889342 + Cp_Database_200!$I111*0.02650357 + Cp_Database_200!$J111/0.08889342, 2), "-")</f>
        <v>35.65</v>
      </c>
      <c r="H111" s="16">
        <f>IF(AND(400&gt;=$E111, 400&lt;=$F111), ROUND(Cp_Database_200!$F111 + Cp_Database_200!$G111*0.4 + Cp_Database_200!$H111*0.16 + Cp_Database_200!$I111*0.064 + Cp_Database_200!$J111/0.16, 2), "-")</f>
        <v>38.75</v>
      </c>
      <c r="I111" s="16">
        <f>IF(AND(500&gt;=$E111, 500&lt;=$F111), ROUND(Cp_Database_200!$F111 + Cp_Database_200!$G111*0.5 + Cp_Database_200!$H111*0.25 + Cp_Database_200!$I111*0.125 + Cp_Database_200!$J111/0.25, 2), "-")</f>
        <v>42.03</v>
      </c>
      <c r="J111" s="16">
        <f>IF(AND(600&gt;=$E111, 600&lt;=$F111), ROUND(Cp_Database_200!$F111 + Cp_Database_200!$G111*0.6 + Cp_Database_200!$H111*0.36 + Cp_Database_200!$I111*0.216 + Cp_Database_200!$J111/0.36, 2), "-")</f>
        <v>45.26</v>
      </c>
      <c r="K111" s="16">
        <f>IF(AND(700&gt;=$E111, 700&lt;=$F111), ROUND(Cp_Database_200!$F111 + Cp_Database_200!$G111*0.7 + Cp_Database_200!$H111*0.49 + Cp_Database_200!$I111*0.343 + Cp_Database_200!$J111/0.49, 2), "-")</f>
        <v>48.35</v>
      </c>
      <c r="L111" s="16">
        <f>IF(AND(800&gt;=$E111, 800&lt;=$F111), ROUND(Cp_Database_200!$F111 + Cp_Database_200!$G111*0.8 + Cp_Database_200!$H111*0.64 + Cp_Database_200!$I111*0.512 + Cp_Database_200!$J111/0.64, 2), "-")</f>
        <v>51.25</v>
      </c>
      <c r="M111" s="16">
        <f>IF(AND(1000&gt;=$E111, 1000&lt;=$F111), ROUND(Cp_Database_200!$F111 + Cp_Database_200!$G111*1 + Cp_Database_200!$H111*1 + Cp_Database_200!$I111*1 + Cp_Database_200!$J111/1, 2), "-")</f>
        <v>56.5</v>
      </c>
      <c r="N111" s="16">
        <f>IF(AND(1200&gt;=$E111, 1200&lt;=$F111), ROUND(Cp_Database_200!$F111 + Cp_Database_200!$G111*1.2 + Cp_Database_200!$H111*1.44 + Cp_Database_200!$I111*1.728 + Cp_Database_200!$J111/1.44, 2), "-")</f>
        <v>61.03</v>
      </c>
      <c r="O111" s="16" t="str">
        <f>IF(AND(1500&gt;=$E111, 1500&lt;=$F111), ROUND(Cp_Database_200!$F111 + Cp_Database_200!$G111*1.5 + Cp_Database_200!$H111*2.25 + Cp_Database_200!$I111*3.375 + Cp_Database_200!$J111/2.25, 2), "-")</f>
        <v>-</v>
      </c>
      <c r="P111" s="16" t="str">
        <f>IF(AND(2000&gt;=$E111, 2000&lt;=$F111), ROUND(Cp_Database_200!$F111 + Cp_Database_200!$G111*2 + Cp_Database_200!$H111*4 + Cp_Database_200!$I111*8 + Cp_Database_200!$J111/4, 2), "-")</f>
        <v>-</v>
      </c>
    </row>
    <row r="112" spans="1:16" ht="15" x14ac:dyDescent="0.3">
      <c r="A112" s="2">
        <f>Cp_Database_200!A112</f>
        <v>111</v>
      </c>
      <c r="B112" s="3" t="str">
        <f>Cp_Database_200!B112</f>
        <v>Methane</v>
      </c>
      <c r="C112" s="4" t="str">
        <f>Cp_Database_200!C112</f>
        <v>CH4</v>
      </c>
      <c r="D112" s="3" t="str">
        <f>Cp_Database_200!E112</f>
        <v>Technological Fluid &amp; Gas</v>
      </c>
      <c r="E112" s="6">
        <f>Cp_Database_200!K112</f>
        <v>298</v>
      </c>
      <c r="F112" s="6">
        <f>Cp_Database_200!L112</f>
        <v>1300</v>
      </c>
      <c r="G112" s="15">
        <f>IF(AND(298.15&gt;=$E112, 298.15&lt;=$F112), ROUND(Cp_Database_200!$F112 + Cp_Database_200!$G112*0.29815 + Cp_Database_200!$H112*0.08889342 + Cp_Database_200!$I112*0.02650357 + Cp_Database_200!$J112/0.08889342, 2), "-")</f>
        <v>35.65</v>
      </c>
      <c r="H112" s="15">
        <f>IF(AND(400&gt;=$E112, 400&lt;=$F112), ROUND(Cp_Database_200!$F112 + Cp_Database_200!$G112*0.4 + Cp_Database_200!$H112*0.16 + Cp_Database_200!$I112*0.064 + Cp_Database_200!$J112/0.16, 2), "-")</f>
        <v>40.5</v>
      </c>
      <c r="I112" s="15">
        <f>IF(AND(500&gt;=$E112, 500&lt;=$F112), ROUND(Cp_Database_200!$F112 + Cp_Database_200!$G112*0.5 + Cp_Database_200!$H112*0.25 + Cp_Database_200!$I112*0.125 + Cp_Database_200!$J112/0.25, 2), "-")</f>
        <v>46.35</v>
      </c>
      <c r="J112" s="15">
        <f>IF(AND(600&gt;=$E112, 600&lt;=$F112), ROUND(Cp_Database_200!$F112 + Cp_Database_200!$G112*0.6 + Cp_Database_200!$H112*0.36 + Cp_Database_200!$I112*0.216 + Cp_Database_200!$J112/0.36, 2), "-")</f>
        <v>52.23</v>
      </c>
      <c r="K112" s="15">
        <f>IF(AND(700&gt;=$E112, 700&lt;=$F112), ROUND(Cp_Database_200!$F112 + Cp_Database_200!$G112*0.7 + Cp_Database_200!$H112*0.49 + Cp_Database_200!$I112*0.343 + Cp_Database_200!$J112/0.49, 2), "-")</f>
        <v>57.79</v>
      </c>
      <c r="L112" s="15">
        <f>IF(AND(800&gt;=$E112, 800&lt;=$F112), ROUND(Cp_Database_200!$F112 + Cp_Database_200!$G112*0.8 + Cp_Database_200!$H112*0.64 + Cp_Database_200!$I112*0.512 + Cp_Database_200!$J112/0.64, 2), "-")</f>
        <v>62.93</v>
      </c>
      <c r="M112" s="15">
        <f>IF(AND(1000&gt;=$E112, 1000&lt;=$F112), ROUND(Cp_Database_200!$F112 + Cp_Database_200!$G112*1 + Cp_Database_200!$H112*1 + Cp_Database_200!$I112*1 + Cp_Database_200!$J112/1, 2), "-")</f>
        <v>71.790000000000006</v>
      </c>
      <c r="N112" s="15">
        <f>IF(AND(1200&gt;=$E112, 1200&lt;=$F112), ROUND(Cp_Database_200!$F112 + Cp_Database_200!$G112*1.2 + Cp_Database_200!$H112*1.44 + Cp_Database_200!$I112*1.728 + Cp_Database_200!$J112/1.44, 2), "-")</f>
        <v>78.84</v>
      </c>
      <c r="O112" s="15" t="str">
        <f>IF(AND(1500&gt;=$E112, 1500&lt;=$F112), ROUND(Cp_Database_200!$F112 + Cp_Database_200!$G112*1.5 + Cp_Database_200!$H112*2.25 + Cp_Database_200!$I112*3.375 + Cp_Database_200!$J112/2.25, 2), "-")</f>
        <v>-</v>
      </c>
      <c r="P112" s="15" t="str">
        <f>IF(AND(2000&gt;=$E112, 2000&lt;=$F112), ROUND(Cp_Database_200!$F112 + Cp_Database_200!$G112*2 + Cp_Database_200!$H112*4 + Cp_Database_200!$I112*8 + Cp_Database_200!$J112/4, 2), "-")</f>
        <v>-</v>
      </c>
    </row>
    <row r="113" spans="1:16" ht="15" x14ac:dyDescent="0.3">
      <c r="A113" s="8">
        <f>Cp_Database_200!A113</f>
        <v>112</v>
      </c>
      <c r="B113" s="9" t="str">
        <f>Cp_Database_200!B113</f>
        <v>Argon</v>
      </c>
      <c r="C113" s="10" t="str">
        <f>Cp_Database_200!C113</f>
        <v>Ar</v>
      </c>
      <c r="D113" s="9" t="str">
        <f>Cp_Database_200!E113</f>
        <v>Technological Fluid &amp; Gas</v>
      </c>
      <c r="E113" s="12">
        <f>Cp_Database_200!K113</f>
        <v>298</v>
      </c>
      <c r="F113" s="12">
        <f>Cp_Database_200!L113</f>
        <v>6000</v>
      </c>
      <c r="G113" s="16">
        <f>IF(AND(298.15&gt;=$E113, 298.15&lt;=$F113), ROUND(Cp_Database_200!$F113 + Cp_Database_200!$G113*0.29815 + Cp_Database_200!$H113*0.08889342 + Cp_Database_200!$I113*0.02650357 + Cp_Database_200!$J113/0.08889342, 2), "-")</f>
        <v>20.79</v>
      </c>
      <c r="H113" s="16">
        <f>IF(AND(400&gt;=$E113, 400&lt;=$F113), ROUND(Cp_Database_200!$F113 + Cp_Database_200!$G113*0.4 + Cp_Database_200!$H113*0.16 + Cp_Database_200!$I113*0.064 + Cp_Database_200!$J113/0.16, 2), "-")</f>
        <v>20.79</v>
      </c>
      <c r="I113" s="16">
        <f>IF(AND(500&gt;=$E113, 500&lt;=$F113), ROUND(Cp_Database_200!$F113 + Cp_Database_200!$G113*0.5 + Cp_Database_200!$H113*0.25 + Cp_Database_200!$I113*0.125 + Cp_Database_200!$J113/0.25, 2), "-")</f>
        <v>20.79</v>
      </c>
      <c r="J113" s="16">
        <f>IF(AND(600&gt;=$E113, 600&lt;=$F113), ROUND(Cp_Database_200!$F113 + Cp_Database_200!$G113*0.6 + Cp_Database_200!$H113*0.36 + Cp_Database_200!$I113*0.216 + Cp_Database_200!$J113/0.36, 2), "-")</f>
        <v>20.79</v>
      </c>
      <c r="K113" s="16">
        <f>IF(AND(700&gt;=$E113, 700&lt;=$F113), ROUND(Cp_Database_200!$F113 + Cp_Database_200!$G113*0.7 + Cp_Database_200!$H113*0.49 + Cp_Database_200!$I113*0.343 + Cp_Database_200!$J113/0.49, 2), "-")</f>
        <v>20.79</v>
      </c>
      <c r="L113" s="16">
        <f>IF(AND(800&gt;=$E113, 800&lt;=$F113), ROUND(Cp_Database_200!$F113 + Cp_Database_200!$G113*0.8 + Cp_Database_200!$H113*0.64 + Cp_Database_200!$I113*0.512 + Cp_Database_200!$J113/0.64, 2), "-")</f>
        <v>20.79</v>
      </c>
      <c r="M113" s="16">
        <f>IF(AND(1000&gt;=$E113, 1000&lt;=$F113), ROUND(Cp_Database_200!$F113 + Cp_Database_200!$G113*1 + Cp_Database_200!$H113*1 + Cp_Database_200!$I113*1 + Cp_Database_200!$J113/1, 2), "-")</f>
        <v>20.79</v>
      </c>
      <c r="N113" s="16">
        <f>IF(AND(1200&gt;=$E113, 1200&lt;=$F113), ROUND(Cp_Database_200!$F113 + Cp_Database_200!$G113*1.2 + Cp_Database_200!$H113*1.44 + Cp_Database_200!$I113*1.728 + Cp_Database_200!$J113/1.44, 2), "-")</f>
        <v>20.79</v>
      </c>
      <c r="O113" s="16">
        <f>IF(AND(1500&gt;=$E113, 1500&lt;=$F113), ROUND(Cp_Database_200!$F113 + Cp_Database_200!$G113*1.5 + Cp_Database_200!$H113*2.25 + Cp_Database_200!$I113*3.375 + Cp_Database_200!$J113/2.25, 2), "-")</f>
        <v>20.79</v>
      </c>
      <c r="P113" s="16">
        <f>IF(AND(2000&gt;=$E113, 2000&lt;=$F113), ROUND(Cp_Database_200!$F113 + Cp_Database_200!$G113*2 + Cp_Database_200!$H113*4 + Cp_Database_200!$I113*8 + Cp_Database_200!$J113/4, 2), "-")</f>
        <v>20.79</v>
      </c>
    </row>
    <row r="114" spans="1:16" ht="15" x14ac:dyDescent="0.3">
      <c r="A114" s="2">
        <f>Cp_Database_200!A114</f>
        <v>113</v>
      </c>
      <c r="B114" s="3" t="str">
        <f>Cp_Database_200!B114</f>
        <v>Helium</v>
      </c>
      <c r="C114" s="4" t="str">
        <f>Cp_Database_200!C114</f>
        <v>He</v>
      </c>
      <c r="D114" s="3" t="str">
        <f>Cp_Database_200!E114</f>
        <v>Technological Fluid &amp; Gas</v>
      </c>
      <c r="E114" s="6">
        <f>Cp_Database_200!K114</f>
        <v>298</v>
      </c>
      <c r="F114" s="6">
        <f>Cp_Database_200!L114</f>
        <v>6000</v>
      </c>
      <c r="G114" s="15">
        <f>IF(AND(298.15&gt;=$E114, 298.15&lt;=$F114), ROUND(Cp_Database_200!$F114 + Cp_Database_200!$G114*0.29815 + Cp_Database_200!$H114*0.08889342 + Cp_Database_200!$I114*0.02650357 + Cp_Database_200!$J114/0.08889342, 2), "-")</f>
        <v>20.79</v>
      </c>
      <c r="H114" s="15">
        <f>IF(AND(400&gt;=$E114, 400&lt;=$F114), ROUND(Cp_Database_200!$F114 + Cp_Database_200!$G114*0.4 + Cp_Database_200!$H114*0.16 + Cp_Database_200!$I114*0.064 + Cp_Database_200!$J114/0.16, 2), "-")</f>
        <v>20.79</v>
      </c>
      <c r="I114" s="15">
        <f>IF(AND(500&gt;=$E114, 500&lt;=$F114), ROUND(Cp_Database_200!$F114 + Cp_Database_200!$G114*0.5 + Cp_Database_200!$H114*0.25 + Cp_Database_200!$I114*0.125 + Cp_Database_200!$J114/0.25, 2), "-")</f>
        <v>20.79</v>
      </c>
      <c r="J114" s="15">
        <f>IF(AND(600&gt;=$E114, 600&lt;=$F114), ROUND(Cp_Database_200!$F114 + Cp_Database_200!$G114*0.6 + Cp_Database_200!$H114*0.36 + Cp_Database_200!$I114*0.216 + Cp_Database_200!$J114/0.36, 2), "-")</f>
        <v>20.79</v>
      </c>
      <c r="K114" s="15">
        <f>IF(AND(700&gt;=$E114, 700&lt;=$F114), ROUND(Cp_Database_200!$F114 + Cp_Database_200!$G114*0.7 + Cp_Database_200!$H114*0.49 + Cp_Database_200!$I114*0.343 + Cp_Database_200!$J114/0.49, 2), "-")</f>
        <v>20.79</v>
      </c>
      <c r="L114" s="15">
        <f>IF(AND(800&gt;=$E114, 800&lt;=$F114), ROUND(Cp_Database_200!$F114 + Cp_Database_200!$G114*0.8 + Cp_Database_200!$H114*0.64 + Cp_Database_200!$I114*0.512 + Cp_Database_200!$J114/0.64, 2), "-")</f>
        <v>20.79</v>
      </c>
      <c r="M114" s="15">
        <f>IF(AND(1000&gt;=$E114, 1000&lt;=$F114), ROUND(Cp_Database_200!$F114 + Cp_Database_200!$G114*1 + Cp_Database_200!$H114*1 + Cp_Database_200!$I114*1 + Cp_Database_200!$J114/1, 2), "-")</f>
        <v>20.79</v>
      </c>
      <c r="N114" s="15">
        <f>IF(AND(1200&gt;=$E114, 1200&lt;=$F114), ROUND(Cp_Database_200!$F114 + Cp_Database_200!$G114*1.2 + Cp_Database_200!$H114*1.44 + Cp_Database_200!$I114*1.728 + Cp_Database_200!$J114/1.44, 2), "-")</f>
        <v>20.79</v>
      </c>
      <c r="O114" s="15">
        <f>IF(AND(1500&gt;=$E114, 1500&lt;=$F114), ROUND(Cp_Database_200!$F114 + Cp_Database_200!$G114*1.5 + Cp_Database_200!$H114*2.25 + Cp_Database_200!$I114*3.375 + Cp_Database_200!$J114/2.25, 2), "-")</f>
        <v>20.79</v>
      </c>
      <c r="P114" s="15">
        <f>IF(AND(2000&gt;=$E114, 2000&lt;=$F114), ROUND(Cp_Database_200!$F114 + Cp_Database_200!$G114*2 + Cp_Database_200!$H114*4 + Cp_Database_200!$I114*8 + Cp_Database_200!$J114/4, 2), "-")</f>
        <v>20.79</v>
      </c>
    </row>
    <row r="115" spans="1:16" ht="15" x14ac:dyDescent="0.3">
      <c r="A115" s="8">
        <f>Cp_Database_200!A115</f>
        <v>114</v>
      </c>
      <c r="B115" s="9" t="str">
        <f>Cp_Database_200!B115</f>
        <v>Chlorine</v>
      </c>
      <c r="C115" s="10" t="str">
        <f>Cp_Database_200!C115</f>
        <v>Cl2</v>
      </c>
      <c r="D115" s="9" t="str">
        <f>Cp_Database_200!E115</f>
        <v>Technological Fluid &amp; Gas</v>
      </c>
      <c r="E115" s="12">
        <f>Cp_Database_200!K115</f>
        <v>298</v>
      </c>
      <c r="F115" s="12">
        <f>Cp_Database_200!L115</f>
        <v>1000</v>
      </c>
      <c r="G115" s="16">
        <f>IF(AND(298.15&gt;=$E115, 298.15&lt;=$F115), ROUND(Cp_Database_200!$F115 + Cp_Database_200!$G115*0.29815 + Cp_Database_200!$H115*0.08889342 + Cp_Database_200!$I115*0.02650357 + Cp_Database_200!$J115/0.08889342, 2), "-")</f>
        <v>33.950000000000003</v>
      </c>
      <c r="H115" s="16">
        <f>IF(AND(400&gt;=$E115, 400&lt;=$F115), ROUND(Cp_Database_200!$F115 + Cp_Database_200!$G115*0.4 + Cp_Database_200!$H115*0.16 + Cp_Database_200!$I115*0.064 + Cp_Database_200!$J115/0.16, 2), "-")</f>
        <v>35.299999999999997</v>
      </c>
      <c r="I115" s="16">
        <f>IF(AND(500&gt;=$E115, 500&lt;=$F115), ROUND(Cp_Database_200!$F115 + Cp_Database_200!$G115*0.5 + Cp_Database_200!$H115*0.25 + Cp_Database_200!$I115*0.125 + Cp_Database_200!$J115/0.25, 2), "-")</f>
        <v>36.06</v>
      </c>
      <c r="J115" s="16">
        <f>IF(AND(600&gt;=$E115, 600&lt;=$F115), ROUND(Cp_Database_200!$F115 + Cp_Database_200!$G115*0.6 + Cp_Database_200!$H115*0.36 + Cp_Database_200!$I115*0.216 + Cp_Database_200!$J115/0.36, 2), "-")</f>
        <v>36.549999999999997</v>
      </c>
      <c r="K115" s="16">
        <f>IF(AND(700&gt;=$E115, 700&lt;=$F115), ROUND(Cp_Database_200!$F115 + Cp_Database_200!$G115*0.7 + Cp_Database_200!$H115*0.49 + Cp_Database_200!$I115*0.343 + Cp_Database_200!$J115/0.49, 2), "-")</f>
        <v>36.880000000000003</v>
      </c>
      <c r="L115" s="16">
        <f>IF(AND(800&gt;=$E115, 800&lt;=$F115), ROUND(Cp_Database_200!$F115 + Cp_Database_200!$G115*0.8 + Cp_Database_200!$H115*0.64 + Cp_Database_200!$I115*0.512 + Cp_Database_200!$J115/0.64, 2), "-")</f>
        <v>37.11</v>
      </c>
      <c r="M115" s="16">
        <f>IF(AND(1000&gt;=$E115, 1000&lt;=$F115), ROUND(Cp_Database_200!$F115 + Cp_Database_200!$G115*1 + Cp_Database_200!$H115*1 + Cp_Database_200!$I115*1 + Cp_Database_200!$J115/1, 2), "-")</f>
        <v>37.44</v>
      </c>
      <c r="N115" s="16" t="str">
        <f>IF(AND(1200&gt;=$E115, 1200&lt;=$F115), ROUND(Cp_Database_200!$F115 + Cp_Database_200!$G115*1.2 + Cp_Database_200!$H115*1.44 + Cp_Database_200!$I115*1.728 + Cp_Database_200!$J115/1.44, 2), "-")</f>
        <v>-</v>
      </c>
      <c r="O115" s="16" t="str">
        <f>IF(AND(1500&gt;=$E115, 1500&lt;=$F115), ROUND(Cp_Database_200!$F115 + Cp_Database_200!$G115*1.5 + Cp_Database_200!$H115*2.25 + Cp_Database_200!$I115*3.375 + Cp_Database_200!$J115/2.25, 2), "-")</f>
        <v>-</v>
      </c>
      <c r="P115" s="16" t="str">
        <f>IF(AND(2000&gt;=$E115, 2000&lt;=$F115), ROUND(Cp_Database_200!$F115 + Cp_Database_200!$G115*2 + Cp_Database_200!$H115*4 + Cp_Database_200!$I115*8 + Cp_Database_200!$J115/4, 2), "-")</f>
        <v>-</v>
      </c>
    </row>
    <row r="116" spans="1:16" ht="15" x14ac:dyDescent="0.3">
      <c r="A116" s="2">
        <f>Cp_Database_200!A116</f>
        <v>115</v>
      </c>
      <c r="B116" s="3" t="str">
        <f>Cp_Database_200!B116</f>
        <v>Fluorine</v>
      </c>
      <c r="C116" s="4" t="str">
        <f>Cp_Database_200!C116</f>
        <v>F2</v>
      </c>
      <c r="D116" s="3" t="str">
        <f>Cp_Database_200!E116</f>
        <v>Technological Fluid &amp; Gas</v>
      </c>
      <c r="E116" s="6">
        <f>Cp_Database_200!K116</f>
        <v>298</v>
      </c>
      <c r="F116" s="6">
        <f>Cp_Database_200!L116</f>
        <v>6000</v>
      </c>
      <c r="G116" s="15">
        <f>IF(AND(298.15&gt;=$E116, 298.15&lt;=$F116), ROUND(Cp_Database_200!$F116 + Cp_Database_200!$G116*0.29815 + Cp_Database_200!$H116*0.08889342 + Cp_Database_200!$I116*0.02650357 + Cp_Database_200!$J116/0.08889342, 2), "-")</f>
        <v>31.34</v>
      </c>
      <c r="H116" s="15">
        <f>IF(AND(400&gt;=$E116, 400&lt;=$F116), ROUND(Cp_Database_200!$F116 + Cp_Database_200!$G116*0.4 + Cp_Database_200!$H116*0.16 + Cp_Database_200!$I116*0.064 + Cp_Database_200!$J116/0.16, 2), "-")</f>
        <v>33.06</v>
      </c>
      <c r="I116" s="15">
        <f>IF(AND(500&gt;=$E116, 500&lt;=$F116), ROUND(Cp_Database_200!$F116 + Cp_Database_200!$G116*0.5 + Cp_Database_200!$H116*0.25 + Cp_Database_200!$I116*0.125 + Cp_Database_200!$J116/0.25, 2), "-")</f>
        <v>34.14</v>
      </c>
      <c r="J116" s="15">
        <f>IF(AND(600&gt;=$E116, 600&lt;=$F116), ROUND(Cp_Database_200!$F116 + Cp_Database_200!$G116*0.6 + Cp_Database_200!$H116*0.36 + Cp_Database_200!$I116*0.216 + Cp_Database_200!$J116/0.36, 2), "-")</f>
        <v>34.950000000000003</v>
      </c>
      <c r="K116" s="15">
        <f>IF(AND(700&gt;=$E116, 700&lt;=$F116), ROUND(Cp_Database_200!$F116 + Cp_Database_200!$G116*0.7 + Cp_Database_200!$H116*0.49 + Cp_Database_200!$I116*0.343 + Cp_Database_200!$J116/0.49, 2), "-")</f>
        <v>35.619999999999997</v>
      </c>
      <c r="L116" s="15">
        <f>IF(AND(800&gt;=$E116, 800&lt;=$F116), ROUND(Cp_Database_200!$F116 + Cp_Database_200!$G116*0.8 + Cp_Database_200!$H116*0.64 + Cp_Database_200!$I116*0.512 + Cp_Database_200!$J116/0.64, 2), "-")</f>
        <v>36.18</v>
      </c>
      <c r="M116" s="15">
        <f>IF(AND(1000&gt;=$E116, 1000&lt;=$F116), ROUND(Cp_Database_200!$F116 + Cp_Database_200!$G116*1 + Cp_Database_200!$H116*1 + Cp_Database_200!$I116*1 + Cp_Database_200!$J116/1, 2), "-")</f>
        <v>37.090000000000003</v>
      </c>
      <c r="N116" s="15">
        <f>IF(AND(1200&gt;=$E116, 1200&lt;=$F116), ROUND(Cp_Database_200!$F116 + Cp_Database_200!$G116*1.2 + Cp_Database_200!$H116*1.44 + Cp_Database_200!$I116*1.728 + Cp_Database_200!$J116/1.44, 2), "-")</f>
        <v>37.770000000000003</v>
      </c>
      <c r="O116" s="15">
        <f>IF(AND(1500&gt;=$E116, 1500&lt;=$F116), ROUND(Cp_Database_200!$F116 + Cp_Database_200!$G116*1.5 + Cp_Database_200!$H116*2.25 + Cp_Database_200!$I116*3.375 + Cp_Database_200!$J116/2.25, 2), "-")</f>
        <v>38.46</v>
      </c>
      <c r="P116" s="15">
        <f>IF(AND(2000&gt;=$E116, 2000&lt;=$F116), ROUND(Cp_Database_200!$F116 + Cp_Database_200!$G116*2 + Cp_Database_200!$H116*4 + Cp_Database_200!$I116*8 + Cp_Database_200!$J116/4, 2), "-")</f>
        <v>38.85</v>
      </c>
    </row>
    <row r="117" spans="1:16" ht="15" x14ac:dyDescent="0.3">
      <c r="A117" s="8">
        <f>Cp_Database_200!A117</f>
        <v>116</v>
      </c>
      <c r="B117" s="9" t="str">
        <f>Cp_Database_200!B117</f>
        <v>Sulfur Dioxide</v>
      </c>
      <c r="C117" s="10" t="str">
        <f>Cp_Database_200!C117</f>
        <v>SO2</v>
      </c>
      <c r="D117" s="9" t="str">
        <f>Cp_Database_200!E117</f>
        <v>Technological Fluid &amp; Gas</v>
      </c>
      <c r="E117" s="12">
        <f>Cp_Database_200!K117</f>
        <v>298</v>
      </c>
      <c r="F117" s="12">
        <f>Cp_Database_200!L117</f>
        <v>1200</v>
      </c>
      <c r="G117" s="16">
        <f>IF(AND(298.15&gt;=$E117, 298.15&lt;=$F117), ROUND(Cp_Database_200!$F117 + Cp_Database_200!$G117*0.29815 + Cp_Database_200!$H117*0.08889342 + Cp_Database_200!$I117*0.02650357 + Cp_Database_200!$J117/0.08889342, 2), "-")</f>
        <v>39.869999999999997</v>
      </c>
      <c r="H117" s="16">
        <f>IF(AND(400&gt;=$E117, 400&lt;=$F117), ROUND(Cp_Database_200!$F117 + Cp_Database_200!$G117*0.4 + Cp_Database_200!$H117*0.16 + Cp_Database_200!$I117*0.064 + Cp_Database_200!$J117/0.16, 2), "-")</f>
        <v>43.52</v>
      </c>
      <c r="I117" s="16">
        <f>IF(AND(500&gt;=$E117, 500&lt;=$F117), ROUND(Cp_Database_200!$F117 + Cp_Database_200!$G117*0.5 + Cp_Database_200!$H117*0.25 + Cp_Database_200!$I117*0.125 + Cp_Database_200!$J117/0.25, 2), "-")</f>
        <v>46.56</v>
      </c>
      <c r="J117" s="16">
        <f>IF(AND(600&gt;=$E117, 600&lt;=$F117), ROUND(Cp_Database_200!$F117 + Cp_Database_200!$G117*0.6 + Cp_Database_200!$H117*0.36 + Cp_Database_200!$I117*0.216 + Cp_Database_200!$J117/0.36, 2), "-")</f>
        <v>49.02</v>
      </c>
      <c r="K117" s="16">
        <f>IF(AND(700&gt;=$E117, 700&lt;=$F117), ROUND(Cp_Database_200!$F117 + Cp_Database_200!$G117*0.7 + Cp_Database_200!$H117*0.49 + Cp_Database_200!$I117*0.343 + Cp_Database_200!$J117/0.49, 2), "-")</f>
        <v>50.96</v>
      </c>
      <c r="L117" s="16">
        <f>IF(AND(800&gt;=$E117, 800&lt;=$F117), ROUND(Cp_Database_200!$F117 + Cp_Database_200!$G117*0.8 + Cp_Database_200!$H117*0.64 + Cp_Database_200!$I117*0.512 + Cp_Database_200!$J117/0.64, 2), "-")</f>
        <v>52.46</v>
      </c>
      <c r="M117" s="16">
        <f>IF(AND(1000&gt;=$E117, 1000&lt;=$F117), ROUND(Cp_Database_200!$F117 + Cp_Database_200!$G117*1 + Cp_Database_200!$H117*1 + Cp_Database_200!$I117*1 + Cp_Database_200!$J117/1, 2), "-")</f>
        <v>54.47</v>
      </c>
      <c r="N117" s="16">
        <f>IF(AND(1200&gt;=$E117, 1200&lt;=$F117), ROUND(Cp_Database_200!$F117 + Cp_Database_200!$G117*1.2 + Cp_Database_200!$H117*1.44 + Cp_Database_200!$I117*1.728 + Cp_Database_200!$J117/1.44, 2), "-")</f>
        <v>55.81</v>
      </c>
      <c r="O117" s="16" t="str">
        <f>IF(AND(1500&gt;=$E117, 1500&lt;=$F117), ROUND(Cp_Database_200!$F117 + Cp_Database_200!$G117*1.5 + Cp_Database_200!$H117*2.25 + Cp_Database_200!$I117*3.375 + Cp_Database_200!$J117/2.25, 2), "-")</f>
        <v>-</v>
      </c>
      <c r="P117" s="16" t="str">
        <f>IF(AND(2000&gt;=$E117, 2000&lt;=$F117), ROUND(Cp_Database_200!$F117 + Cp_Database_200!$G117*2 + Cp_Database_200!$H117*4 + Cp_Database_200!$I117*8 + Cp_Database_200!$J117/4, 2), "-")</f>
        <v>-</v>
      </c>
    </row>
    <row r="118" spans="1:16" ht="15" x14ac:dyDescent="0.3">
      <c r="A118" s="2">
        <f>Cp_Database_200!A118</f>
        <v>117</v>
      </c>
      <c r="B118" s="3" t="str">
        <f>Cp_Database_200!B118</f>
        <v>Nitric Oxide</v>
      </c>
      <c r="C118" s="4" t="str">
        <f>Cp_Database_200!C118</f>
        <v>NO</v>
      </c>
      <c r="D118" s="3" t="str">
        <f>Cp_Database_200!E118</f>
        <v>Technological Fluid &amp; Gas</v>
      </c>
      <c r="E118" s="6">
        <f>Cp_Database_200!K118</f>
        <v>298</v>
      </c>
      <c r="F118" s="6">
        <f>Cp_Database_200!L118</f>
        <v>1200</v>
      </c>
      <c r="G118" s="15">
        <f>IF(AND(298.15&gt;=$E118, 298.15&lt;=$F118), ROUND(Cp_Database_200!$F118 + Cp_Database_200!$G118*0.29815 + Cp_Database_200!$H118*0.08889342 + Cp_Database_200!$I118*0.02650357 + Cp_Database_200!$J118/0.08889342, 2), "-")</f>
        <v>29.86</v>
      </c>
      <c r="H118" s="15">
        <f>IF(AND(400&gt;=$E118, 400&lt;=$F118), ROUND(Cp_Database_200!$F118 + Cp_Database_200!$G118*0.4 + Cp_Database_200!$H118*0.16 + Cp_Database_200!$I118*0.064 + Cp_Database_200!$J118/0.16, 2), "-")</f>
        <v>29.93</v>
      </c>
      <c r="I118" s="15">
        <f>IF(AND(500&gt;=$E118, 500&lt;=$F118), ROUND(Cp_Database_200!$F118 + Cp_Database_200!$G118*0.5 + Cp_Database_200!$H118*0.25 + Cp_Database_200!$I118*0.125 + Cp_Database_200!$J118/0.25, 2), "-")</f>
        <v>30.51</v>
      </c>
      <c r="J118" s="15">
        <f>IF(AND(600&gt;=$E118, 600&lt;=$F118), ROUND(Cp_Database_200!$F118 + Cp_Database_200!$G118*0.6 + Cp_Database_200!$H118*0.36 + Cp_Database_200!$I118*0.216 + Cp_Database_200!$J118/0.36, 2), "-")</f>
        <v>31.25</v>
      </c>
      <c r="K118" s="15">
        <f>IF(AND(700&gt;=$E118, 700&lt;=$F118), ROUND(Cp_Database_200!$F118 + Cp_Database_200!$G118*0.7 + Cp_Database_200!$H118*0.49 + Cp_Database_200!$I118*0.343 + Cp_Database_200!$J118/0.49, 2), "-")</f>
        <v>32.01</v>
      </c>
      <c r="L118" s="15">
        <f>IF(AND(800&gt;=$E118, 800&lt;=$F118), ROUND(Cp_Database_200!$F118 + Cp_Database_200!$G118*0.8 + Cp_Database_200!$H118*0.64 + Cp_Database_200!$I118*0.512 + Cp_Database_200!$J118/0.64, 2), "-")</f>
        <v>32.74</v>
      </c>
      <c r="M118" s="15">
        <f>IF(AND(1000&gt;=$E118, 1000&lt;=$F118), ROUND(Cp_Database_200!$F118 + Cp_Database_200!$G118*1 + Cp_Database_200!$H118*1 + Cp_Database_200!$I118*1 + Cp_Database_200!$J118/1, 2), "-")</f>
        <v>34</v>
      </c>
      <c r="N118" s="15">
        <f>IF(AND(1200&gt;=$E118, 1200&lt;=$F118), ROUND(Cp_Database_200!$F118 + Cp_Database_200!$G118*1.2 + Cp_Database_200!$H118*1.44 + Cp_Database_200!$I118*1.728 + Cp_Database_200!$J118/1.44, 2), "-")</f>
        <v>34.86</v>
      </c>
      <c r="O118" s="15" t="str">
        <f>IF(AND(1500&gt;=$E118, 1500&lt;=$F118), ROUND(Cp_Database_200!$F118 + Cp_Database_200!$G118*1.5 + Cp_Database_200!$H118*2.25 + Cp_Database_200!$I118*3.375 + Cp_Database_200!$J118/2.25, 2), "-")</f>
        <v>-</v>
      </c>
      <c r="P118" s="15" t="str">
        <f>IF(AND(2000&gt;=$E118, 2000&lt;=$F118), ROUND(Cp_Database_200!$F118 + Cp_Database_200!$G118*2 + Cp_Database_200!$H118*4 + Cp_Database_200!$I118*8 + Cp_Database_200!$J118/4, 2), "-")</f>
        <v>-</v>
      </c>
    </row>
    <row r="119" spans="1:16" ht="15" x14ac:dyDescent="0.3">
      <c r="A119" s="8">
        <f>Cp_Database_200!A119</f>
        <v>118</v>
      </c>
      <c r="B119" s="9" t="str">
        <f>Cp_Database_200!B119</f>
        <v>Nitrogen Dioxide</v>
      </c>
      <c r="C119" s="10" t="str">
        <f>Cp_Database_200!C119</f>
        <v>NO2</v>
      </c>
      <c r="D119" s="9" t="str">
        <f>Cp_Database_200!E119</f>
        <v>Technological Fluid &amp; Gas</v>
      </c>
      <c r="E119" s="12">
        <f>Cp_Database_200!K119</f>
        <v>298</v>
      </c>
      <c r="F119" s="12">
        <f>Cp_Database_200!L119</f>
        <v>1200</v>
      </c>
      <c r="G119" s="16">
        <f>IF(AND(298.15&gt;=$E119, 298.15&lt;=$F119), ROUND(Cp_Database_200!$F119 + Cp_Database_200!$G119*0.29815 + Cp_Database_200!$H119*0.08889342 + Cp_Database_200!$I119*0.02650357 + Cp_Database_200!$J119/0.08889342, 2), "-")</f>
        <v>36.97</v>
      </c>
      <c r="H119" s="16">
        <f>IF(AND(400&gt;=$E119, 400&lt;=$F119), ROUND(Cp_Database_200!$F119 + Cp_Database_200!$G119*0.4 + Cp_Database_200!$H119*0.16 + Cp_Database_200!$I119*0.064 + Cp_Database_200!$J119/0.16, 2), "-")</f>
        <v>40.18</v>
      </c>
      <c r="I119" s="16">
        <f>IF(AND(500&gt;=$E119, 500&lt;=$F119), ROUND(Cp_Database_200!$F119 + Cp_Database_200!$G119*0.5 + Cp_Database_200!$H119*0.25 + Cp_Database_200!$I119*0.125 + Cp_Database_200!$J119/0.25, 2), "-")</f>
        <v>43.21</v>
      </c>
      <c r="J119" s="16">
        <f>IF(AND(600&gt;=$E119, 600&lt;=$F119), ROUND(Cp_Database_200!$F119 + Cp_Database_200!$G119*0.6 + Cp_Database_200!$H119*0.36 + Cp_Database_200!$I119*0.216 + Cp_Database_200!$J119/0.36, 2), "-")</f>
        <v>45.82</v>
      </c>
      <c r="K119" s="16">
        <f>IF(AND(700&gt;=$E119, 700&lt;=$F119), ROUND(Cp_Database_200!$F119 + Cp_Database_200!$G119*0.7 + Cp_Database_200!$H119*0.49 + Cp_Database_200!$I119*0.343 + Cp_Database_200!$J119/0.49, 2), "-")</f>
        <v>47.98</v>
      </c>
      <c r="L119" s="16">
        <f>IF(AND(800&gt;=$E119, 800&lt;=$F119), ROUND(Cp_Database_200!$F119 + Cp_Database_200!$G119*0.8 + Cp_Database_200!$H119*0.64 + Cp_Database_200!$I119*0.512 + Cp_Database_200!$J119/0.64, 2), "-")</f>
        <v>49.72</v>
      </c>
      <c r="M119" s="16">
        <f>IF(AND(1000&gt;=$E119, 1000&lt;=$F119), ROUND(Cp_Database_200!$F119 + Cp_Database_200!$G119*1 + Cp_Database_200!$H119*1 + Cp_Database_200!$I119*1 + Cp_Database_200!$J119/1, 2), "-")</f>
        <v>52.16</v>
      </c>
      <c r="N119" s="16">
        <f>IF(AND(1200&gt;=$E119, 1200&lt;=$F119), ROUND(Cp_Database_200!$F119 + Cp_Database_200!$G119*1.2 + Cp_Database_200!$H119*1.44 + Cp_Database_200!$I119*1.728 + Cp_Database_200!$J119/1.44, 2), "-")</f>
        <v>53.76</v>
      </c>
      <c r="O119" s="16" t="str">
        <f>IF(AND(1500&gt;=$E119, 1500&lt;=$F119), ROUND(Cp_Database_200!$F119 + Cp_Database_200!$G119*1.5 + Cp_Database_200!$H119*2.25 + Cp_Database_200!$I119*3.375 + Cp_Database_200!$J119/2.25, 2), "-")</f>
        <v>-</v>
      </c>
      <c r="P119" s="16" t="str">
        <f>IF(AND(2000&gt;=$E119, 2000&lt;=$F119), ROUND(Cp_Database_200!$F119 + Cp_Database_200!$G119*2 + Cp_Database_200!$H119*4 + Cp_Database_200!$I119*8 + Cp_Database_200!$J119/4, 2), "-")</f>
        <v>-</v>
      </c>
    </row>
    <row r="120" spans="1:16" ht="15" x14ac:dyDescent="0.3">
      <c r="A120" s="2">
        <f>Cp_Database_200!A120</f>
        <v>119</v>
      </c>
      <c r="B120" s="3" t="str">
        <f>Cp_Database_200!B120</f>
        <v>Lithium Oxide</v>
      </c>
      <c r="C120" s="4" t="str">
        <f>Cp_Database_200!C120</f>
        <v>Li2O</v>
      </c>
      <c r="D120" s="3" t="str">
        <f>Cp_Database_200!E120</f>
        <v>Ceramic (Oxide)</v>
      </c>
      <c r="E120" s="6">
        <f>Cp_Database_200!K120</f>
        <v>298</v>
      </c>
      <c r="F120" s="6">
        <f>Cp_Database_200!L120</f>
        <v>1600</v>
      </c>
      <c r="G120" s="15">
        <f>IF(AND(298.15&gt;=$E120, 298.15&lt;=$F120), ROUND(Cp_Database_200!$F120 + Cp_Database_200!$G120*0.29815 + Cp_Database_200!$H120*0.08889342 + Cp_Database_200!$I120*0.02650357 + Cp_Database_200!$J120/0.08889342, 2), "-")</f>
        <v>54.11</v>
      </c>
      <c r="H120" s="15">
        <f>IF(AND(400&gt;=$E120, 400&lt;=$F120), ROUND(Cp_Database_200!$F120 + Cp_Database_200!$G120*0.4 + Cp_Database_200!$H120*0.16 + Cp_Database_200!$I120*0.064 + Cp_Database_200!$J120/0.16, 2), "-")</f>
        <v>63.97</v>
      </c>
      <c r="I120" s="15">
        <f>IF(AND(500&gt;=$E120, 500&lt;=$F120), ROUND(Cp_Database_200!$F120 + Cp_Database_200!$G120*0.5 + Cp_Database_200!$H120*0.25 + Cp_Database_200!$I120*0.125 + Cp_Database_200!$J120/0.25, 2), "-")</f>
        <v>69.63</v>
      </c>
      <c r="J120" s="15">
        <f>IF(AND(600&gt;=$E120, 600&lt;=$F120), ROUND(Cp_Database_200!$F120 + Cp_Database_200!$G120*0.6 + Cp_Database_200!$H120*0.36 + Cp_Database_200!$I120*0.216 + Cp_Database_200!$J120/0.36, 2), "-")</f>
        <v>73.819999999999993</v>
      </c>
      <c r="K120" s="15">
        <f>IF(AND(700&gt;=$E120, 700&lt;=$F120), ROUND(Cp_Database_200!$F120 + Cp_Database_200!$G120*0.7 + Cp_Database_200!$H120*0.49 + Cp_Database_200!$I120*0.343 + Cp_Database_200!$J120/0.49, 2), "-")</f>
        <v>77.36</v>
      </c>
      <c r="L120" s="15">
        <f>IF(AND(800&gt;=$E120, 800&lt;=$F120), ROUND(Cp_Database_200!$F120 + Cp_Database_200!$G120*0.8 + Cp_Database_200!$H120*0.64 + Cp_Database_200!$I120*0.512 + Cp_Database_200!$J120/0.64, 2), "-")</f>
        <v>80.540000000000006</v>
      </c>
      <c r="M120" s="15">
        <f>IF(AND(1000&gt;=$E120, 1000&lt;=$F120), ROUND(Cp_Database_200!$F120 + Cp_Database_200!$G120*1 + Cp_Database_200!$H120*1 + Cp_Database_200!$I120*1 + Cp_Database_200!$J120/1, 2), "-")</f>
        <v>86.25</v>
      </c>
      <c r="N120" s="15">
        <f>IF(AND(1200&gt;=$E120, 1200&lt;=$F120), ROUND(Cp_Database_200!$F120 + Cp_Database_200!$G120*1.2 + Cp_Database_200!$H120*1.44 + Cp_Database_200!$I120*1.728 + Cp_Database_200!$J120/1.44, 2), "-")</f>
        <v>91.12</v>
      </c>
      <c r="O120" s="15">
        <f>IF(AND(1500&gt;=$E120, 1500&lt;=$F120), ROUND(Cp_Database_200!$F120 + Cp_Database_200!$G120*1.5 + Cp_Database_200!$H120*2.25 + Cp_Database_200!$I120*3.375 + Cp_Database_200!$J120/2.25, 2), "-")</f>
        <v>96.3</v>
      </c>
      <c r="P120" s="15" t="str">
        <f>IF(AND(2000&gt;=$E120, 2000&lt;=$F120), ROUND(Cp_Database_200!$F120 + Cp_Database_200!$G120*2 + Cp_Database_200!$H120*4 + Cp_Database_200!$I120*8 + Cp_Database_200!$J120/4, 2), "-")</f>
        <v>-</v>
      </c>
    </row>
    <row r="121" spans="1:16" ht="15" x14ac:dyDescent="0.3">
      <c r="A121" s="8">
        <f>Cp_Database_200!A121</f>
        <v>120</v>
      </c>
      <c r="B121" s="9" t="str">
        <f>Cp_Database_200!B121</f>
        <v>Sodium Oxide</v>
      </c>
      <c r="C121" s="10" t="str">
        <f>Cp_Database_200!C121</f>
        <v>Na2O</v>
      </c>
      <c r="D121" s="9" t="str">
        <f>Cp_Database_200!E121</f>
        <v>Refractory &amp; Mineral</v>
      </c>
      <c r="E121" s="12">
        <f>Cp_Database_200!K121</f>
        <v>298</v>
      </c>
      <c r="F121" s="12">
        <f>Cp_Database_200!L121</f>
        <v>1023</v>
      </c>
      <c r="G121" s="16">
        <f>IF(AND(298.15&gt;=$E121, 298.15&lt;=$F121), ROUND(Cp_Database_200!$F121 + Cp_Database_200!$G121*0.29815 + Cp_Database_200!$H121*0.08889342 + Cp_Database_200!$I121*0.02650357 + Cp_Database_200!$J121/0.08889342, 2), "-")</f>
        <v>69.099999999999994</v>
      </c>
      <c r="H121" s="16">
        <f>IF(AND(400&gt;=$E121, 400&lt;=$F121), ROUND(Cp_Database_200!$F121 + Cp_Database_200!$G121*0.4 + Cp_Database_200!$H121*0.16 + Cp_Database_200!$I121*0.064 + Cp_Database_200!$J121/0.16, 2), "-")</f>
        <v>75.849999999999994</v>
      </c>
      <c r="I121" s="16">
        <f>IF(AND(500&gt;=$E121, 500&lt;=$F121), ROUND(Cp_Database_200!$F121 + Cp_Database_200!$G121*0.5 + Cp_Database_200!$H121*0.25 + Cp_Database_200!$I121*0.125 + Cp_Database_200!$J121/0.25, 2), "-")</f>
        <v>81.400000000000006</v>
      </c>
      <c r="J121" s="16">
        <f>IF(AND(600&gt;=$E121, 600&lt;=$F121), ROUND(Cp_Database_200!$F121 + Cp_Database_200!$G121*0.6 + Cp_Database_200!$H121*0.36 + Cp_Database_200!$I121*0.216 + Cp_Database_200!$J121/0.36, 2), "-")</f>
        <v>85.7</v>
      </c>
      <c r="K121" s="16">
        <f>IF(AND(700&gt;=$E121, 700&lt;=$F121), ROUND(Cp_Database_200!$F121 + Cp_Database_200!$G121*0.7 + Cp_Database_200!$H121*0.49 + Cp_Database_200!$I121*0.343 + Cp_Database_200!$J121/0.49, 2), "-")</f>
        <v>88.92</v>
      </c>
      <c r="L121" s="16">
        <f>IF(AND(800&gt;=$E121, 800&lt;=$F121), ROUND(Cp_Database_200!$F121 + Cp_Database_200!$G121*0.8 + Cp_Database_200!$H121*0.64 + Cp_Database_200!$I121*0.512 + Cp_Database_200!$J121/0.64, 2), "-")</f>
        <v>91.31</v>
      </c>
      <c r="M121" s="16">
        <f>IF(AND(1000&gt;=$E121, 1000&lt;=$F121), ROUND(Cp_Database_200!$F121 + Cp_Database_200!$G121*1 + Cp_Database_200!$H121*1 + Cp_Database_200!$I121*1 + Cp_Database_200!$J121/1, 2), "-")</f>
        <v>94.9</v>
      </c>
      <c r="N121" s="16" t="str">
        <f>IF(AND(1200&gt;=$E121, 1200&lt;=$F121), ROUND(Cp_Database_200!$F121 + Cp_Database_200!$G121*1.2 + Cp_Database_200!$H121*1.44 + Cp_Database_200!$I121*1.728 + Cp_Database_200!$J121/1.44, 2), "-")</f>
        <v>-</v>
      </c>
      <c r="O121" s="16" t="str">
        <f>IF(AND(1500&gt;=$E121, 1500&lt;=$F121), ROUND(Cp_Database_200!$F121 + Cp_Database_200!$G121*1.5 + Cp_Database_200!$H121*2.25 + Cp_Database_200!$I121*3.375 + Cp_Database_200!$J121/2.25, 2), "-")</f>
        <v>-</v>
      </c>
      <c r="P121" s="16" t="str">
        <f>IF(AND(2000&gt;=$E121, 2000&lt;=$F121), ROUND(Cp_Database_200!$F121 + Cp_Database_200!$G121*2 + Cp_Database_200!$H121*4 + Cp_Database_200!$I121*8 + Cp_Database_200!$J121/4, 2), "-")</f>
        <v>-</v>
      </c>
    </row>
    <row r="122" spans="1:16" ht="15" x14ac:dyDescent="0.3">
      <c r="A122" s="2">
        <f>Cp_Database_200!A122</f>
        <v>121</v>
      </c>
      <c r="B122" s="3" t="str">
        <f>Cp_Database_200!B122</f>
        <v>Potassium Oxide</v>
      </c>
      <c r="C122" s="4" t="str">
        <f>Cp_Database_200!C122</f>
        <v>K2O</v>
      </c>
      <c r="D122" s="3" t="str">
        <f>Cp_Database_200!E122</f>
        <v>Refractory &amp; Mineral</v>
      </c>
      <c r="E122" s="6">
        <f>Cp_Database_200!K122</f>
        <v>298</v>
      </c>
      <c r="F122" s="6">
        <f>Cp_Database_200!L122</f>
        <v>700</v>
      </c>
      <c r="G122" s="15">
        <f>IF(AND(298.15&gt;=$E122, 298.15&lt;=$F122), ROUND(Cp_Database_200!$F122 + Cp_Database_200!$G122*0.29815 + Cp_Database_200!$H122*0.08889342 + Cp_Database_200!$I122*0.02650357 + Cp_Database_200!$J122/0.08889342, 2), "-")</f>
        <v>83.64</v>
      </c>
      <c r="H122" s="15">
        <f>IF(AND(400&gt;=$E122, 400&lt;=$F122), ROUND(Cp_Database_200!$F122 + Cp_Database_200!$G122*0.4 + Cp_Database_200!$H122*0.16 + Cp_Database_200!$I122*0.064 + Cp_Database_200!$J122/0.16, 2), "-")</f>
        <v>91.54</v>
      </c>
      <c r="I122" s="15">
        <f>IF(AND(500&gt;=$E122, 500&lt;=$F122), ROUND(Cp_Database_200!$F122 + Cp_Database_200!$G122*0.5 + Cp_Database_200!$H122*0.25 + Cp_Database_200!$I122*0.125 + Cp_Database_200!$J122/0.25, 2), "-")</f>
        <v>94.27</v>
      </c>
      <c r="J122" s="15">
        <f>IF(AND(600&gt;=$E122, 600&lt;=$F122), ROUND(Cp_Database_200!$F122 + Cp_Database_200!$G122*0.6 + Cp_Database_200!$H122*0.36 + Cp_Database_200!$I122*0.216 + Cp_Database_200!$J122/0.36, 2), "-")</f>
        <v>97.4</v>
      </c>
      <c r="K122" s="15">
        <f>IF(AND(700&gt;=$E122, 700&lt;=$F122), ROUND(Cp_Database_200!$F122 + Cp_Database_200!$G122*0.7 + Cp_Database_200!$H122*0.49 + Cp_Database_200!$I122*0.343 + Cp_Database_200!$J122/0.49, 2), "-")</f>
        <v>101.38</v>
      </c>
      <c r="L122" s="15" t="str">
        <f>IF(AND(800&gt;=$E122, 800&lt;=$F122), ROUND(Cp_Database_200!$F122 + Cp_Database_200!$G122*0.8 + Cp_Database_200!$H122*0.64 + Cp_Database_200!$I122*0.512 + Cp_Database_200!$J122/0.64, 2), "-")</f>
        <v>-</v>
      </c>
      <c r="M122" s="15" t="str">
        <f>IF(AND(1000&gt;=$E122, 1000&lt;=$F122), ROUND(Cp_Database_200!$F122 + Cp_Database_200!$G122*1 + Cp_Database_200!$H122*1 + Cp_Database_200!$I122*1 + Cp_Database_200!$J122/1, 2), "-")</f>
        <v>-</v>
      </c>
      <c r="N122" s="15" t="str">
        <f>IF(AND(1200&gt;=$E122, 1200&lt;=$F122), ROUND(Cp_Database_200!$F122 + Cp_Database_200!$G122*1.2 + Cp_Database_200!$H122*1.44 + Cp_Database_200!$I122*1.728 + Cp_Database_200!$J122/1.44, 2), "-")</f>
        <v>-</v>
      </c>
      <c r="O122" s="15" t="str">
        <f>IF(AND(1500&gt;=$E122, 1500&lt;=$F122), ROUND(Cp_Database_200!$F122 + Cp_Database_200!$G122*1.5 + Cp_Database_200!$H122*2.25 + Cp_Database_200!$I122*3.375 + Cp_Database_200!$J122/2.25, 2), "-")</f>
        <v>-</v>
      </c>
      <c r="P122" s="15" t="str">
        <f>IF(AND(2000&gt;=$E122, 2000&lt;=$F122), ROUND(Cp_Database_200!$F122 + Cp_Database_200!$G122*2 + Cp_Database_200!$H122*4 + Cp_Database_200!$I122*8 + Cp_Database_200!$J122/4, 2), "-")</f>
        <v>-</v>
      </c>
    </row>
    <row r="123" spans="1:16" ht="15" x14ac:dyDescent="0.3">
      <c r="A123" s="8">
        <f>Cp_Database_200!A123</f>
        <v>122</v>
      </c>
      <c r="B123" s="9" t="str">
        <f>Cp_Database_200!B123</f>
        <v>Calcium Hydroxide</v>
      </c>
      <c r="C123" s="10" t="str">
        <f>Cp_Database_200!C123</f>
        <v>Ca(OH)2</v>
      </c>
      <c r="D123" s="9" t="str">
        <f>Cp_Database_200!E123</f>
        <v>Hydroxide / Mineral</v>
      </c>
      <c r="E123" s="12">
        <f>Cp_Database_200!K123</f>
        <v>298</v>
      </c>
      <c r="F123" s="12">
        <f>Cp_Database_200!L123</f>
        <v>1000</v>
      </c>
      <c r="G123" s="16">
        <f>IF(AND(298.15&gt;=$E123, 298.15&lt;=$F123), ROUND(Cp_Database_200!$F123 + Cp_Database_200!$G123*0.29815 + Cp_Database_200!$H123*0.08889342 + Cp_Database_200!$I123*0.02650357 + Cp_Database_200!$J123/0.08889342, 2), "-")</f>
        <v>87.48</v>
      </c>
      <c r="H123" s="16">
        <f>IF(AND(400&gt;=$E123, 400&lt;=$F123), ROUND(Cp_Database_200!$F123 + Cp_Database_200!$G123*0.4 + Cp_Database_200!$H123*0.16 + Cp_Database_200!$I123*0.064 + Cp_Database_200!$J123/0.16, 2), "-")</f>
        <v>98.46</v>
      </c>
      <c r="I123" s="16">
        <f>IF(AND(500&gt;=$E123, 500&lt;=$F123), ROUND(Cp_Database_200!$F123 + Cp_Database_200!$G123*0.5 + Cp_Database_200!$H123*0.25 + Cp_Database_200!$I123*0.125 + Cp_Database_200!$J123/0.25, 2), "-")</f>
        <v>103.82</v>
      </c>
      <c r="J123" s="16">
        <f>IF(AND(600&gt;=$E123, 600&lt;=$F123), ROUND(Cp_Database_200!$F123 + Cp_Database_200!$G123*0.6 + Cp_Database_200!$H123*0.36 + Cp_Database_200!$I123*0.216 + Cp_Database_200!$J123/0.36, 2), "-")</f>
        <v>107.54</v>
      </c>
      <c r="K123" s="16">
        <f>IF(AND(700&gt;=$E123, 700&lt;=$F123), ROUND(Cp_Database_200!$F123 + Cp_Database_200!$G123*0.7 + Cp_Database_200!$H123*0.49 + Cp_Database_200!$I123*0.343 + Cp_Database_200!$J123/0.49, 2), "-")</f>
        <v>110.68</v>
      </c>
      <c r="L123" s="16">
        <f>IF(AND(800&gt;=$E123, 800&lt;=$F123), ROUND(Cp_Database_200!$F123 + Cp_Database_200!$G123*0.8 + Cp_Database_200!$H123*0.64 + Cp_Database_200!$I123*0.512 + Cp_Database_200!$J123/0.64, 2), "-")</f>
        <v>113.52</v>
      </c>
      <c r="M123" s="16">
        <f>IF(AND(1000&gt;=$E123, 1000&lt;=$F123), ROUND(Cp_Database_200!$F123 + Cp_Database_200!$G123*1 + Cp_Database_200!$H123*1 + Cp_Database_200!$I123*1 + Cp_Database_200!$J123/1, 2), "-")</f>
        <v>118</v>
      </c>
      <c r="N123" s="16" t="str">
        <f>IF(AND(1200&gt;=$E123, 1200&lt;=$F123), ROUND(Cp_Database_200!$F123 + Cp_Database_200!$G123*1.2 + Cp_Database_200!$H123*1.44 + Cp_Database_200!$I123*1.728 + Cp_Database_200!$J123/1.44, 2), "-")</f>
        <v>-</v>
      </c>
      <c r="O123" s="16" t="str">
        <f>IF(AND(1500&gt;=$E123, 1500&lt;=$F123), ROUND(Cp_Database_200!$F123 + Cp_Database_200!$G123*1.5 + Cp_Database_200!$H123*2.25 + Cp_Database_200!$I123*3.375 + Cp_Database_200!$J123/2.25, 2), "-")</f>
        <v>-</v>
      </c>
      <c r="P123" s="16" t="str">
        <f>IF(AND(2000&gt;=$E123, 2000&lt;=$F123), ROUND(Cp_Database_200!$F123 + Cp_Database_200!$G123*2 + Cp_Database_200!$H123*4 + Cp_Database_200!$I123*8 + Cp_Database_200!$J123/4, 2), "-")</f>
        <v>-</v>
      </c>
    </row>
    <row r="124" spans="1:16" ht="15" x14ac:dyDescent="0.3">
      <c r="A124" s="2">
        <f>Cp_Database_200!A124</f>
        <v>123</v>
      </c>
      <c r="B124" s="3" t="str">
        <f>Cp_Database_200!B124</f>
        <v>Magnesium Hydroxide</v>
      </c>
      <c r="C124" s="4" t="str">
        <f>Cp_Database_200!C124</f>
        <v>Mg(OH)2</v>
      </c>
      <c r="D124" s="3" t="str">
        <f>Cp_Database_200!E124</f>
        <v>Hydroxide / Mineral</v>
      </c>
      <c r="E124" s="6">
        <f>Cp_Database_200!K124</f>
        <v>298</v>
      </c>
      <c r="F124" s="6">
        <f>Cp_Database_200!L124</f>
        <v>1000</v>
      </c>
      <c r="G124" s="15">
        <f>IF(AND(298.15&gt;=$E124, 298.15&lt;=$F124), ROUND(Cp_Database_200!$F124 + Cp_Database_200!$G124*0.29815 + Cp_Database_200!$H124*0.08889342 + Cp_Database_200!$I124*0.02650357 + Cp_Database_200!$J124/0.08889342, 2), "-")</f>
        <v>77.209999999999994</v>
      </c>
      <c r="H124" s="15">
        <f>IF(AND(400&gt;=$E124, 400&lt;=$F124), ROUND(Cp_Database_200!$F124 + Cp_Database_200!$G124*0.4 + Cp_Database_200!$H124*0.16 + Cp_Database_200!$I124*0.064 + Cp_Database_200!$J124/0.16, 2), "-")</f>
        <v>91.76</v>
      </c>
      <c r="I124" s="15">
        <f>IF(AND(500&gt;=$E124, 500&lt;=$F124), ROUND(Cp_Database_200!$F124 + Cp_Database_200!$G124*0.5 + Cp_Database_200!$H124*0.25 + Cp_Database_200!$I124*0.125 + Cp_Database_200!$J124/0.25, 2), "-")</f>
        <v>99.52</v>
      </c>
      <c r="J124" s="15">
        <f>IF(AND(600&gt;=$E124, 600&lt;=$F124), ROUND(Cp_Database_200!$F124 + Cp_Database_200!$G124*0.6 + Cp_Database_200!$H124*0.36 + Cp_Database_200!$I124*0.216 + Cp_Database_200!$J124/0.36, 2), "-")</f>
        <v>104.46</v>
      </c>
      <c r="K124" s="15">
        <f>IF(AND(700&gt;=$E124, 700&lt;=$F124), ROUND(Cp_Database_200!$F124 + Cp_Database_200!$G124*0.7 + Cp_Database_200!$H124*0.49 + Cp_Database_200!$I124*0.343 + Cp_Database_200!$J124/0.49, 2), "-")</f>
        <v>107.93</v>
      </c>
      <c r="L124" s="15">
        <f>IF(AND(800&gt;=$E124, 800&lt;=$F124), ROUND(Cp_Database_200!$F124 + Cp_Database_200!$G124*0.8 + Cp_Database_200!$H124*0.64 + Cp_Database_200!$I124*0.512 + Cp_Database_200!$J124/0.64, 2), "-")</f>
        <v>110.58</v>
      </c>
      <c r="M124" s="15">
        <f>IF(AND(1000&gt;=$E124, 1000&lt;=$F124), ROUND(Cp_Database_200!$F124 + Cp_Database_200!$G124*1 + Cp_Database_200!$H124*1 + Cp_Database_200!$I124*1 + Cp_Database_200!$J124/1, 2), "-")</f>
        <v>114.87</v>
      </c>
      <c r="N124" s="15" t="str">
        <f>IF(AND(1200&gt;=$E124, 1200&lt;=$F124), ROUND(Cp_Database_200!$F124 + Cp_Database_200!$G124*1.2 + Cp_Database_200!$H124*1.44 + Cp_Database_200!$I124*1.728 + Cp_Database_200!$J124/1.44, 2), "-")</f>
        <v>-</v>
      </c>
      <c r="O124" s="15" t="str">
        <f>IF(AND(1500&gt;=$E124, 1500&lt;=$F124), ROUND(Cp_Database_200!$F124 + Cp_Database_200!$G124*1.5 + Cp_Database_200!$H124*2.25 + Cp_Database_200!$I124*3.375 + Cp_Database_200!$J124/2.25, 2), "-")</f>
        <v>-</v>
      </c>
      <c r="P124" s="15" t="str">
        <f>IF(AND(2000&gt;=$E124, 2000&lt;=$F124), ROUND(Cp_Database_200!$F124 + Cp_Database_200!$G124*2 + Cp_Database_200!$H124*4 + Cp_Database_200!$I124*8 + Cp_Database_200!$J124/4, 2), "-")</f>
        <v>-</v>
      </c>
    </row>
    <row r="125" spans="1:16" ht="15" x14ac:dyDescent="0.3">
      <c r="A125" s="8">
        <f>Cp_Database_200!A125</f>
        <v>124</v>
      </c>
      <c r="B125" s="9" t="str">
        <f>Cp_Database_200!B125</f>
        <v>Sodium Hydroxide</v>
      </c>
      <c r="C125" s="10" t="str">
        <f>Cp_Database_200!C125</f>
        <v>NaOH</v>
      </c>
      <c r="D125" s="9" t="str">
        <f>Cp_Database_200!E125</f>
        <v>Hydroxide / Mineral</v>
      </c>
      <c r="E125" s="12">
        <f>Cp_Database_200!K125</f>
        <v>298</v>
      </c>
      <c r="F125" s="12">
        <f>Cp_Database_200!L125</f>
        <v>572</v>
      </c>
      <c r="G125" s="16">
        <f>IF(AND(298.15&gt;=$E125, 298.15&lt;=$F125), ROUND(Cp_Database_200!$F125 + Cp_Database_200!$G125*0.29815 + Cp_Database_200!$H125*0.08889342 + Cp_Database_200!$I125*0.02650357 + Cp_Database_200!$J125/0.08889342, 2), "-")</f>
        <v>59.53</v>
      </c>
      <c r="H125" s="16">
        <f>IF(AND(400&gt;=$E125, 400&lt;=$F125), ROUND(Cp_Database_200!$F125 + Cp_Database_200!$G125*0.4 + Cp_Database_200!$H125*0.16 + Cp_Database_200!$I125*0.064 + Cp_Database_200!$J125/0.16, 2), "-")</f>
        <v>64.94</v>
      </c>
      <c r="I125" s="16">
        <f>IF(AND(500&gt;=$E125, 500&lt;=$F125), ROUND(Cp_Database_200!$F125 + Cp_Database_200!$G125*0.5 + Cp_Database_200!$H125*0.25 + Cp_Database_200!$I125*0.125 + Cp_Database_200!$J125/0.25, 2), "-")</f>
        <v>75.16</v>
      </c>
      <c r="J125" s="16" t="str">
        <f>IF(AND(600&gt;=$E125, 600&lt;=$F125), ROUND(Cp_Database_200!$F125 + Cp_Database_200!$G125*0.6 + Cp_Database_200!$H125*0.36 + Cp_Database_200!$I125*0.216 + Cp_Database_200!$J125/0.36, 2), "-")</f>
        <v>-</v>
      </c>
      <c r="K125" s="16" t="str">
        <f>IF(AND(700&gt;=$E125, 700&lt;=$F125), ROUND(Cp_Database_200!$F125 + Cp_Database_200!$G125*0.7 + Cp_Database_200!$H125*0.49 + Cp_Database_200!$I125*0.343 + Cp_Database_200!$J125/0.49, 2), "-")</f>
        <v>-</v>
      </c>
      <c r="L125" s="16" t="str">
        <f>IF(AND(800&gt;=$E125, 800&lt;=$F125), ROUND(Cp_Database_200!$F125 + Cp_Database_200!$G125*0.8 + Cp_Database_200!$H125*0.64 + Cp_Database_200!$I125*0.512 + Cp_Database_200!$J125/0.64, 2), "-")</f>
        <v>-</v>
      </c>
      <c r="M125" s="16" t="str">
        <f>IF(AND(1000&gt;=$E125, 1000&lt;=$F125), ROUND(Cp_Database_200!$F125 + Cp_Database_200!$G125*1 + Cp_Database_200!$H125*1 + Cp_Database_200!$I125*1 + Cp_Database_200!$J125/1, 2), "-")</f>
        <v>-</v>
      </c>
      <c r="N125" s="16" t="str">
        <f>IF(AND(1200&gt;=$E125, 1200&lt;=$F125), ROUND(Cp_Database_200!$F125 + Cp_Database_200!$G125*1.2 + Cp_Database_200!$H125*1.44 + Cp_Database_200!$I125*1.728 + Cp_Database_200!$J125/1.44, 2), "-")</f>
        <v>-</v>
      </c>
      <c r="O125" s="16" t="str">
        <f>IF(AND(1500&gt;=$E125, 1500&lt;=$F125), ROUND(Cp_Database_200!$F125 + Cp_Database_200!$G125*1.5 + Cp_Database_200!$H125*2.25 + Cp_Database_200!$I125*3.375 + Cp_Database_200!$J125/2.25, 2), "-")</f>
        <v>-</v>
      </c>
      <c r="P125" s="16" t="str">
        <f>IF(AND(2000&gt;=$E125, 2000&lt;=$F125), ROUND(Cp_Database_200!$F125 + Cp_Database_200!$G125*2 + Cp_Database_200!$H125*4 + Cp_Database_200!$I125*8 + Cp_Database_200!$J125/4, 2), "-")</f>
        <v>-</v>
      </c>
    </row>
    <row r="126" spans="1:16" ht="15" x14ac:dyDescent="0.3">
      <c r="A126" s="2">
        <f>Cp_Database_200!A126</f>
        <v>125</v>
      </c>
      <c r="B126" s="3" t="str">
        <f>Cp_Database_200!B126</f>
        <v>Potassium Hydroxide</v>
      </c>
      <c r="C126" s="4" t="str">
        <f>Cp_Database_200!C126</f>
        <v>KOH</v>
      </c>
      <c r="D126" s="3" t="str">
        <f>Cp_Database_200!E126</f>
        <v>Hydroxide / Mineral</v>
      </c>
      <c r="E126" s="6">
        <f>Cp_Database_200!K126</f>
        <v>298</v>
      </c>
      <c r="F126" s="6">
        <f>Cp_Database_200!L126</f>
        <v>516</v>
      </c>
      <c r="G126" s="15">
        <f>IF(AND(298.15&gt;=$E126, 298.15&lt;=$F126), ROUND(Cp_Database_200!$F126 + Cp_Database_200!$G126*0.29815 + Cp_Database_200!$H126*0.08889342 + Cp_Database_200!$I126*0.02650357 + Cp_Database_200!$J126/0.08889342, 2), "-")</f>
        <v>64.89</v>
      </c>
      <c r="H126" s="15">
        <f>IF(AND(400&gt;=$E126, 400&lt;=$F126), ROUND(Cp_Database_200!$F126 + Cp_Database_200!$G126*0.4 + Cp_Database_200!$H126*0.16 + Cp_Database_200!$I126*0.064 + Cp_Database_200!$J126/0.16, 2), "-")</f>
        <v>71.67</v>
      </c>
      <c r="I126" s="15">
        <f>IF(AND(500&gt;=$E126, 500&lt;=$F126), ROUND(Cp_Database_200!$F126 + Cp_Database_200!$G126*0.5 + Cp_Database_200!$H126*0.25 + Cp_Database_200!$I126*0.125 + Cp_Database_200!$J126/0.25, 2), "-")</f>
        <v>79.58</v>
      </c>
      <c r="J126" s="15" t="str">
        <f>IF(AND(600&gt;=$E126, 600&lt;=$F126), ROUND(Cp_Database_200!$F126 + Cp_Database_200!$G126*0.6 + Cp_Database_200!$H126*0.36 + Cp_Database_200!$I126*0.216 + Cp_Database_200!$J126/0.36, 2), "-")</f>
        <v>-</v>
      </c>
      <c r="K126" s="15" t="str">
        <f>IF(AND(700&gt;=$E126, 700&lt;=$F126), ROUND(Cp_Database_200!$F126 + Cp_Database_200!$G126*0.7 + Cp_Database_200!$H126*0.49 + Cp_Database_200!$I126*0.343 + Cp_Database_200!$J126/0.49, 2), "-")</f>
        <v>-</v>
      </c>
      <c r="L126" s="15" t="str">
        <f>IF(AND(800&gt;=$E126, 800&lt;=$F126), ROUND(Cp_Database_200!$F126 + Cp_Database_200!$G126*0.8 + Cp_Database_200!$H126*0.64 + Cp_Database_200!$I126*0.512 + Cp_Database_200!$J126/0.64, 2), "-")</f>
        <v>-</v>
      </c>
      <c r="M126" s="15" t="str">
        <f>IF(AND(1000&gt;=$E126, 1000&lt;=$F126), ROUND(Cp_Database_200!$F126 + Cp_Database_200!$G126*1 + Cp_Database_200!$H126*1 + Cp_Database_200!$I126*1 + Cp_Database_200!$J126/1, 2), "-")</f>
        <v>-</v>
      </c>
      <c r="N126" s="15" t="str">
        <f>IF(AND(1200&gt;=$E126, 1200&lt;=$F126), ROUND(Cp_Database_200!$F126 + Cp_Database_200!$G126*1.2 + Cp_Database_200!$H126*1.44 + Cp_Database_200!$I126*1.728 + Cp_Database_200!$J126/1.44, 2), "-")</f>
        <v>-</v>
      </c>
      <c r="O126" s="15" t="str">
        <f>IF(AND(1500&gt;=$E126, 1500&lt;=$F126), ROUND(Cp_Database_200!$F126 + Cp_Database_200!$G126*1.5 + Cp_Database_200!$H126*2.25 + Cp_Database_200!$I126*3.375 + Cp_Database_200!$J126/2.25, 2), "-")</f>
        <v>-</v>
      </c>
      <c r="P126" s="15" t="str">
        <f>IF(AND(2000&gt;=$E126, 2000&lt;=$F126), ROUND(Cp_Database_200!$F126 + Cp_Database_200!$G126*2 + Cp_Database_200!$H126*4 + Cp_Database_200!$I126*8 + Cp_Database_200!$J126/4, 2), "-")</f>
        <v>-</v>
      </c>
    </row>
    <row r="127" spans="1:16" ht="15" x14ac:dyDescent="0.3">
      <c r="A127" s="8">
        <f>Cp_Database_200!A127</f>
        <v>126</v>
      </c>
      <c r="B127" s="9" t="str">
        <f>Cp_Database_200!B127</f>
        <v>Lithium Hydroxide</v>
      </c>
      <c r="C127" s="10" t="str">
        <f>Cp_Database_200!C127</f>
        <v>LiOH</v>
      </c>
      <c r="D127" s="9" t="str">
        <f>Cp_Database_200!E127</f>
        <v>Hydroxide / Mineral</v>
      </c>
      <c r="E127" s="12">
        <f>Cp_Database_200!K127</f>
        <v>298</v>
      </c>
      <c r="F127" s="12">
        <f>Cp_Database_200!L127</f>
        <v>744.3</v>
      </c>
      <c r="G127" s="16">
        <f>IF(AND(298.15&gt;=$E127, 298.15&lt;=$F127), ROUND(Cp_Database_200!$F127 + Cp_Database_200!$G127*0.29815 + Cp_Database_200!$H127*0.08889342 + Cp_Database_200!$I127*0.02650357 + Cp_Database_200!$J127/0.08889342, 2), "-")</f>
        <v>49.58</v>
      </c>
      <c r="H127" s="16">
        <f>IF(AND(400&gt;=$E127, 400&lt;=$F127), ROUND(Cp_Database_200!$F127 + Cp_Database_200!$G127*0.4 + Cp_Database_200!$H127*0.16 + Cp_Database_200!$I127*0.064 + Cp_Database_200!$J127/0.16, 2), "-")</f>
        <v>58.05</v>
      </c>
      <c r="I127" s="16">
        <f>IF(AND(500&gt;=$E127, 500&lt;=$F127), ROUND(Cp_Database_200!$F127 + Cp_Database_200!$G127*0.5 + Cp_Database_200!$H127*0.25 + Cp_Database_200!$I127*0.125 + Cp_Database_200!$J127/0.25, 2), "-")</f>
        <v>63.65</v>
      </c>
      <c r="J127" s="16">
        <f>IF(AND(600&gt;=$E127, 600&lt;=$F127), ROUND(Cp_Database_200!$F127 + Cp_Database_200!$G127*0.6 + Cp_Database_200!$H127*0.36 + Cp_Database_200!$I127*0.216 + Cp_Database_200!$J127/0.36, 2), "-")</f>
        <v>68.209999999999994</v>
      </c>
      <c r="K127" s="16">
        <f>IF(AND(700&gt;=$E127, 700&lt;=$F127), ROUND(Cp_Database_200!$F127 + Cp_Database_200!$G127*0.7 + Cp_Database_200!$H127*0.49 + Cp_Database_200!$I127*0.343 + Cp_Database_200!$J127/0.49, 2), "-")</f>
        <v>72.27</v>
      </c>
      <c r="L127" s="16" t="str">
        <f>IF(AND(800&gt;=$E127, 800&lt;=$F127), ROUND(Cp_Database_200!$F127 + Cp_Database_200!$G127*0.8 + Cp_Database_200!$H127*0.64 + Cp_Database_200!$I127*0.512 + Cp_Database_200!$J127/0.64, 2), "-")</f>
        <v>-</v>
      </c>
      <c r="M127" s="16" t="str">
        <f>IF(AND(1000&gt;=$E127, 1000&lt;=$F127), ROUND(Cp_Database_200!$F127 + Cp_Database_200!$G127*1 + Cp_Database_200!$H127*1 + Cp_Database_200!$I127*1 + Cp_Database_200!$J127/1, 2), "-")</f>
        <v>-</v>
      </c>
      <c r="N127" s="16" t="str">
        <f>IF(AND(1200&gt;=$E127, 1200&lt;=$F127), ROUND(Cp_Database_200!$F127 + Cp_Database_200!$G127*1.2 + Cp_Database_200!$H127*1.44 + Cp_Database_200!$I127*1.728 + Cp_Database_200!$J127/1.44, 2), "-")</f>
        <v>-</v>
      </c>
      <c r="O127" s="16" t="str">
        <f>IF(AND(1500&gt;=$E127, 1500&lt;=$F127), ROUND(Cp_Database_200!$F127 + Cp_Database_200!$G127*1.5 + Cp_Database_200!$H127*2.25 + Cp_Database_200!$I127*3.375 + Cp_Database_200!$J127/2.25, 2), "-")</f>
        <v>-</v>
      </c>
      <c r="P127" s="16" t="str">
        <f>IF(AND(2000&gt;=$E127, 2000&lt;=$F127), ROUND(Cp_Database_200!$F127 + Cp_Database_200!$G127*2 + Cp_Database_200!$H127*4 + Cp_Database_200!$I127*8 + Cp_Database_200!$J127/4, 2), "-")</f>
        <v>-</v>
      </c>
    </row>
    <row r="128" spans="1:16" ht="15" x14ac:dyDescent="0.3">
      <c r="A128" s="2">
        <f>Cp_Database_200!A128</f>
        <v>127</v>
      </c>
      <c r="B128" s="3" t="str">
        <f>Cp_Database_200!B128</f>
        <v>Tantalum Dicarbide</v>
      </c>
      <c r="C128" s="4" t="str">
        <f>Cp_Database_200!C128</f>
        <v>Ta2C</v>
      </c>
      <c r="D128" s="3" t="str">
        <f>Cp_Database_200!E128</f>
        <v>Ceramic (Carbide)</v>
      </c>
      <c r="E128" s="6">
        <f>Cp_Database_200!K128</f>
        <v>298</v>
      </c>
      <c r="F128" s="6">
        <f>Cp_Database_200!L128</f>
        <v>1000</v>
      </c>
      <c r="G128" s="15">
        <f>IF(AND(298.15&gt;=$E128, 298.15&lt;=$F128), ROUND(Cp_Database_200!$F128 + Cp_Database_200!$G128*0.29815 + Cp_Database_200!$H128*0.08889342 + Cp_Database_200!$I128*0.02650357 + Cp_Database_200!$J128/0.08889342, 2), "-")</f>
        <v>33.78</v>
      </c>
      <c r="H128" s="15">
        <f>IF(AND(400&gt;=$E128, 400&lt;=$F128), ROUND(Cp_Database_200!$F128 + Cp_Database_200!$G128*0.4 + Cp_Database_200!$H128*0.16 + Cp_Database_200!$I128*0.064 + Cp_Database_200!$J128/0.16, 2), "-")</f>
        <v>40.74</v>
      </c>
      <c r="I128" s="15">
        <f>IF(AND(500&gt;=$E128, 500&lt;=$F128), ROUND(Cp_Database_200!$F128 + Cp_Database_200!$G128*0.5 + Cp_Database_200!$H128*0.25 + Cp_Database_200!$I128*0.125 + Cp_Database_200!$J128/0.25, 2), "-")</f>
        <v>45.03</v>
      </c>
      <c r="J128" s="15">
        <f>IF(AND(600&gt;=$E128, 600&lt;=$F128), ROUND(Cp_Database_200!$F128 + Cp_Database_200!$G128*0.6 + Cp_Database_200!$H128*0.36 + Cp_Database_200!$I128*0.216 + Cp_Database_200!$J128/0.36, 2), "-")</f>
        <v>47.64</v>
      </c>
      <c r="K128" s="15">
        <f>IF(AND(700&gt;=$E128, 700&lt;=$F128), ROUND(Cp_Database_200!$F128 + Cp_Database_200!$G128*0.7 + Cp_Database_200!$H128*0.49 + Cp_Database_200!$I128*0.343 + Cp_Database_200!$J128/0.49, 2), "-")</f>
        <v>49.11</v>
      </c>
      <c r="L128" s="15">
        <f>IF(AND(800&gt;=$E128, 800&lt;=$F128), ROUND(Cp_Database_200!$F128 + Cp_Database_200!$G128*0.8 + Cp_Database_200!$H128*0.64 + Cp_Database_200!$I128*0.512 + Cp_Database_200!$J128/0.64, 2), "-")</f>
        <v>49.91</v>
      </c>
      <c r="M128" s="15">
        <f>IF(AND(1000&gt;=$E128, 1000&lt;=$F128), ROUND(Cp_Database_200!$F128 + Cp_Database_200!$G128*1 + Cp_Database_200!$H128*1 + Cp_Database_200!$I128*1 + Cp_Database_200!$J128/1, 2), "-")</f>
        <v>51.22</v>
      </c>
      <c r="N128" s="15" t="str">
        <f>IF(AND(1200&gt;=$E128, 1200&lt;=$F128), ROUND(Cp_Database_200!$F128 + Cp_Database_200!$G128*1.2 + Cp_Database_200!$H128*1.44 + Cp_Database_200!$I128*1.728 + Cp_Database_200!$J128/1.44, 2), "-")</f>
        <v>-</v>
      </c>
      <c r="O128" s="15" t="str">
        <f>IF(AND(1500&gt;=$E128, 1500&lt;=$F128), ROUND(Cp_Database_200!$F128 + Cp_Database_200!$G128*1.5 + Cp_Database_200!$H128*2.25 + Cp_Database_200!$I128*3.375 + Cp_Database_200!$J128/2.25, 2), "-")</f>
        <v>-</v>
      </c>
      <c r="P128" s="15" t="str">
        <f>IF(AND(2000&gt;=$E128, 2000&lt;=$F128), ROUND(Cp_Database_200!$F128 + Cp_Database_200!$G128*2 + Cp_Database_200!$H128*4 + Cp_Database_200!$I128*8 + Cp_Database_200!$J128/4, 2), "-")</f>
        <v>-</v>
      </c>
    </row>
    <row r="129" spans="1:16" ht="15" x14ac:dyDescent="0.3">
      <c r="A129" s="8">
        <f>Cp_Database_200!A129</f>
        <v>128</v>
      </c>
      <c r="B129" s="9" t="str">
        <f>Cp_Database_200!B129</f>
        <v>Ethylene</v>
      </c>
      <c r="C129" s="10" t="str">
        <f>Cp_Database_200!C129</f>
        <v>C2H4</v>
      </c>
      <c r="D129" s="9" t="str">
        <f>Cp_Database_200!E129</f>
        <v>Technological Fluid &amp; Gas</v>
      </c>
      <c r="E129" s="12">
        <f>Cp_Database_200!K129</f>
        <v>298</v>
      </c>
      <c r="F129" s="12">
        <f>Cp_Database_200!L129</f>
        <v>1200</v>
      </c>
      <c r="G129" s="16">
        <f>IF(AND(298.15&gt;=$E129, 298.15&lt;=$F129), ROUND(Cp_Database_200!$F129 + Cp_Database_200!$G129*0.29815 + Cp_Database_200!$H129*0.08889342 + Cp_Database_200!$I129*0.02650357 + Cp_Database_200!$J129/0.08889342, 2), "-")</f>
        <v>42.85</v>
      </c>
      <c r="H129" s="16">
        <f>IF(AND(400&gt;=$E129, 400&lt;=$F129), ROUND(Cp_Database_200!$F129 + Cp_Database_200!$G129*0.4 + Cp_Database_200!$H129*0.16 + Cp_Database_200!$I129*0.064 + Cp_Database_200!$J129/0.16, 2), "-")</f>
        <v>53.09</v>
      </c>
      <c r="I129" s="16">
        <f>IF(AND(500&gt;=$E129, 500&lt;=$F129), ROUND(Cp_Database_200!$F129 + Cp_Database_200!$G129*0.5 + Cp_Database_200!$H129*0.25 + Cp_Database_200!$I129*0.125 + Cp_Database_200!$J129/0.25, 2), "-")</f>
        <v>62.39</v>
      </c>
      <c r="J129" s="16">
        <f>IF(AND(600&gt;=$E129, 600&lt;=$F129), ROUND(Cp_Database_200!$F129 + Cp_Database_200!$G129*0.6 + Cp_Database_200!$H129*0.36 + Cp_Database_200!$I129*0.216 + Cp_Database_200!$J129/0.36, 2), "-")</f>
        <v>70.62</v>
      </c>
      <c r="K129" s="16">
        <f>IF(AND(700&gt;=$E129, 700&lt;=$F129), ROUND(Cp_Database_200!$F129 + Cp_Database_200!$G129*0.7 + Cp_Database_200!$H129*0.49 + Cp_Database_200!$I129*0.343 + Cp_Database_200!$J129/0.49, 2), "-")</f>
        <v>77.760000000000005</v>
      </c>
      <c r="L129" s="16">
        <f>IF(AND(800&gt;=$E129, 800&lt;=$F129), ROUND(Cp_Database_200!$F129 + Cp_Database_200!$G129*0.8 + Cp_Database_200!$H129*0.64 + Cp_Database_200!$I129*0.512 + Cp_Database_200!$J129/0.64, 2), "-")</f>
        <v>83.91</v>
      </c>
      <c r="M129" s="16">
        <f>IF(AND(1000&gt;=$E129, 1000&lt;=$F129), ROUND(Cp_Database_200!$F129 + Cp_Database_200!$G129*1 + Cp_Database_200!$H129*1 + Cp_Database_200!$I129*1 + Cp_Database_200!$J129/1, 2), "-")</f>
        <v>93.85</v>
      </c>
      <c r="N129" s="16">
        <f>IF(AND(1200&gt;=$E129, 1200&lt;=$F129), ROUND(Cp_Database_200!$F129 + Cp_Database_200!$G129*1.2 + Cp_Database_200!$H129*1.44 + Cp_Database_200!$I129*1.728 + Cp_Database_200!$J129/1.44, 2), "-")</f>
        <v>101.68</v>
      </c>
      <c r="O129" s="16" t="str">
        <f>IF(AND(1500&gt;=$E129, 1500&lt;=$F129), ROUND(Cp_Database_200!$F129 + Cp_Database_200!$G129*1.5 + Cp_Database_200!$H129*2.25 + Cp_Database_200!$I129*3.375 + Cp_Database_200!$J129/2.25, 2), "-")</f>
        <v>-</v>
      </c>
      <c r="P129" s="16" t="str">
        <f>IF(AND(2000&gt;=$E129, 2000&lt;=$F129), ROUND(Cp_Database_200!$F129 + Cp_Database_200!$G129*2 + Cp_Database_200!$H129*4 + Cp_Database_200!$I129*8 + Cp_Database_200!$J129/4, 2), "-")</f>
        <v>-</v>
      </c>
    </row>
    <row r="130" spans="1:16" ht="15" x14ac:dyDescent="0.3">
      <c r="A130" s="2">
        <f>Cp_Database_200!A130</f>
        <v>129</v>
      </c>
      <c r="B130" s="3" t="str">
        <f>Cp_Database_200!B130</f>
        <v>Acetylene</v>
      </c>
      <c r="C130" s="4" t="str">
        <f>Cp_Database_200!C130</f>
        <v>C2H2</v>
      </c>
      <c r="D130" s="3" t="str">
        <f>Cp_Database_200!E130</f>
        <v>Technological Fluid &amp; Gas</v>
      </c>
      <c r="E130" s="6">
        <f>Cp_Database_200!K130</f>
        <v>298</v>
      </c>
      <c r="F130" s="6">
        <f>Cp_Database_200!L130</f>
        <v>1100</v>
      </c>
      <c r="G130" s="15">
        <f>IF(AND(298.15&gt;=$E130, 298.15&lt;=$F130), ROUND(Cp_Database_200!$F130 + Cp_Database_200!$G130*0.29815 + Cp_Database_200!$H130*0.08889342 + Cp_Database_200!$I130*0.02650357 + Cp_Database_200!$J130/0.08889342, 2), "-")</f>
        <v>44.08</v>
      </c>
      <c r="H130" s="15">
        <f>IF(AND(400&gt;=$E130, 400&lt;=$F130), ROUND(Cp_Database_200!$F130 + Cp_Database_200!$G130*0.4 + Cp_Database_200!$H130*0.16 + Cp_Database_200!$I130*0.064 + Cp_Database_200!$J130/0.16, 2), "-")</f>
        <v>50.51</v>
      </c>
      <c r="I130" s="15">
        <f>IF(AND(500&gt;=$E130, 500&lt;=$F130), ROUND(Cp_Database_200!$F130 + Cp_Database_200!$G130*0.5 + Cp_Database_200!$H130*0.25 + Cp_Database_200!$I130*0.125 + Cp_Database_200!$J130/0.25, 2), "-")</f>
        <v>54.83</v>
      </c>
      <c r="J130" s="15">
        <f>IF(AND(600&gt;=$E130, 600&lt;=$F130), ROUND(Cp_Database_200!$F130 + Cp_Database_200!$G130*0.6 + Cp_Database_200!$H130*0.36 + Cp_Database_200!$I130*0.216 + Cp_Database_200!$J130/0.36, 2), "-")</f>
        <v>58.27</v>
      </c>
      <c r="K130" s="15">
        <f>IF(AND(700&gt;=$E130, 700&lt;=$F130), ROUND(Cp_Database_200!$F130 + Cp_Database_200!$G130*0.7 + Cp_Database_200!$H130*0.49 + Cp_Database_200!$I130*0.343 + Cp_Database_200!$J130/0.49, 2), "-")</f>
        <v>61.19</v>
      </c>
      <c r="L130" s="15">
        <f>IF(AND(800&gt;=$E130, 800&lt;=$F130), ROUND(Cp_Database_200!$F130 + Cp_Database_200!$G130*0.8 + Cp_Database_200!$H130*0.64 + Cp_Database_200!$I130*0.512 + Cp_Database_200!$J130/0.64, 2), "-")</f>
        <v>63.77</v>
      </c>
      <c r="M130" s="15">
        <f>IF(AND(1000&gt;=$E130, 1000&lt;=$F130), ROUND(Cp_Database_200!$F130 + Cp_Database_200!$G130*1 + Cp_Database_200!$H130*1 + Cp_Database_200!$I130*1 + Cp_Database_200!$J130/1, 2), "-")</f>
        <v>68.25</v>
      </c>
      <c r="N130" s="15" t="str">
        <f>IF(AND(1200&gt;=$E130, 1200&lt;=$F130), ROUND(Cp_Database_200!$F130 + Cp_Database_200!$G130*1.2 + Cp_Database_200!$H130*1.44 + Cp_Database_200!$I130*1.728 + Cp_Database_200!$J130/1.44, 2), "-")</f>
        <v>-</v>
      </c>
      <c r="O130" s="15" t="str">
        <f>IF(AND(1500&gt;=$E130, 1500&lt;=$F130), ROUND(Cp_Database_200!$F130 + Cp_Database_200!$G130*1.5 + Cp_Database_200!$H130*2.25 + Cp_Database_200!$I130*3.375 + Cp_Database_200!$J130/2.25, 2), "-")</f>
        <v>-</v>
      </c>
      <c r="P130" s="15" t="str">
        <f>IF(AND(2000&gt;=$E130, 2000&lt;=$F130), ROUND(Cp_Database_200!$F130 + Cp_Database_200!$G130*2 + Cp_Database_200!$H130*4 + Cp_Database_200!$I130*8 + Cp_Database_200!$J130/4, 2), "-")</f>
        <v>-</v>
      </c>
    </row>
    <row r="131" spans="1:16" ht="15" x14ac:dyDescent="0.3">
      <c r="A131" s="8">
        <f>Cp_Database_200!A131</f>
        <v>130</v>
      </c>
      <c r="B131" s="9" t="str">
        <f>Cp_Database_200!B131</f>
        <v>Formaldehyde</v>
      </c>
      <c r="C131" s="10" t="str">
        <f>Cp_Database_200!C131</f>
        <v>CH2O</v>
      </c>
      <c r="D131" s="9" t="str">
        <f>Cp_Database_200!E131</f>
        <v>Technological Fluid &amp; Gas</v>
      </c>
      <c r="E131" s="12">
        <f>Cp_Database_200!K131</f>
        <v>298</v>
      </c>
      <c r="F131" s="12">
        <f>Cp_Database_200!L131</f>
        <v>1200</v>
      </c>
      <c r="G131" s="16">
        <f>IF(AND(298.15&gt;=$E131, 298.15&lt;=$F131), ROUND(Cp_Database_200!$F131 + Cp_Database_200!$G131*0.29815 + Cp_Database_200!$H131*0.08889342 + Cp_Database_200!$I131*0.02650357 + Cp_Database_200!$J131/0.08889342, 2), "-")</f>
        <v>35.409999999999997</v>
      </c>
      <c r="H131" s="16">
        <f>IF(AND(400&gt;=$E131, 400&lt;=$F131), ROUND(Cp_Database_200!$F131 + Cp_Database_200!$G131*0.4 + Cp_Database_200!$H131*0.16 + Cp_Database_200!$I131*0.064 + Cp_Database_200!$J131/0.16, 2), "-")</f>
        <v>39.26</v>
      </c>
      <c r="I131" s="16">
        <f>IF(AND(500&gt;=$E131, 500&lt;=$F131), ROUND(Cp_Database_200!$F131 + Cp_Database_200!$G131*0.5 + Cp_Database_200!$H131*0.25 + Cp_Database_200!$I131*0.125 + Cp_Database_200!$J131/0.25, 2), "-")</f>
        <v>43.79</v>
      </c>
      <c r="J131" s="16">
        <f>IF(AND(600&gt;=$E131, 600&lt;=$F131), ROUND(Cp_Database_200!$F131 + Cp_Database_200!$G131*0.6 + Cp_Database_200!$H131*0.36 + Cp_Database_200!$I131*0.216 + Cp_Database_200!$J131/0.36, 2), "-")</f>
        <v>48.22</v>
      </c>
      <c r="K131" s="16">
        <f>IF(AND(700&gt;=$E131, 700&lt;=$F131), ROUND(Cp_Database_200!$F131 + Cp_Database_200!$G131*0.7 + Cp_Database_200!$H131*0.49 + Cp_Database_200!$I131*0.343 + Cp_Database_200!$J131/0.49, 2), "-")</f>
        <v>52.31</v>
      </c>
      <c r="L131" s="16">
        <f>IF(AND(800&gt;=$E131, 800&lt;=$F131), ROUND(Cp_Database_200!$F131 + Cp_Database_200!$G131*0.8 + Cp_Database_200!$H131*0.64 + Cp_Database_200!$I131*0.512 + Cp_Database_200!$J131/0.64, 2), "-")</f>
        <v>55.97</v>
      </c>
      <c r="M131" s="16">
        <f>IF(AND(1000&gt;=$E131, 1000&lt;=$F131), ROUND(Cp_Database_200!$F131 + Cp_Database_200!$G131*1 + Cp_Database_200!$H131*1 + Cp_Database_200!$I131*1 + Cp_Database_200!$J131/1, 2), "-")</f>
        <v>62.01</v>
      </c>
      <c r="N131" s="16">
        <f>IF(AND(1200&gt;=$E131, 1200&lt;=$F131), ROUND(Cp_Database_200!$F131 + Cp_Database_200!$G131*1.2 + Cp_Database_200!$H131*1.44 + Cp_Database_200!$I131*1.728 + Cp_Database_200!$J131/1.44, 2), "-")</f>
        <v>66.489999999999995</v>
      </c>
      <c r="O131" s="16" t="str">
        <f>IF(AND(1500&gt;=$E131, 1500&lt;=$F131), ROUND(Cp_Database_200!$F131 + Cp_Database_200!$G131*1.5 + Cp_Database_200!$H131*2.25 + Cp_Database_200!$I131*3.375 + Cp_Database_200!$J131/2.25, 2), "-")</f>
        <v>-</v>
      </c>
      <c r="P131" s="16" t="str">
        <f>IF(AND(2000&gt;=$E131, 2000&lt;=$F131), ROUND(Cp_Database_200!$F131 + Cp_Database_200!$G131*2 + Cp_Database_200!$H131*4 + Cp_Database_200!$I131*8 + Cp_Database_200!$J131/4, 2), "-")</f>
        <v>-</v>
      </c>
    </row>
    <row r="132" spans="1:16" ht="15" x14ac:dyDescent="0.3">
      <c r="A132" s="2">
        <f>Cp_Database_200!A132</f>
        <v>131</v>
      </c>
      <c r="B132" s="3" t="str">
        <f>Cp_Database_200!B132</f>
        <v>Dichloromethane</v>
      </c>
      <c r="C132" s="4" t="str">
        <f>Cp_Database_200!C132</f>
        <v>CH2Cl2</v>
      </c>
      <c r="D132" s="3" t="str">
        <f>Cp_Database_200!E132</f>
        <v>Technological Fluid &amp; Gas</v>
      </c>
      <c r="E132" s="6">
        <f>Cp_Database_200!K132</f>
        <v>298</v>
      </c>
      <c r="F132" s="6">
        <f>Cp_Database_200!L132</f>
        <v>1200</v>
      </c>
      <c r="G132" s="15">
        <f>IF(AND(298.15&gt;=$E132, 298.15&lt;=$F132), ROUND(Cp_Database_200!$F132 + Cp_Database_200!$G132*0.29815 + Cp_Database_200!$H132*0.08889342 + Cp_Database_200!$I132*0.02650357 + Cp_Database_200!$J132/0.08889342, 2), "-")</f>
        <v>50.86</v>
      </c>
      <c r="H132" s="15">
        <f>IF(AND(400&gt;=$E132, 400&lt;=$F132), ROUND(Cp_Database_200!$F132 + Cp_Database_200!$G132*0.4 + Cp_Database_200!$H132*0.16 + Cp_Database_200!$I132*0.064 + Cp_Database_200!$J132/0.16, 2), "-")</f>
        <v>59.61</v>
      </c>
      <c r="I132" s="15">
        <f>IF(AND(500&gt;=$E132, 500&lt;=$F132), ROUND(Cp_Database_200!$F132 + Cp_Database_200!$G132*0.5 + Cp_Database_200!$H132*0.25 + Cp_Database_200!$I132*0.125 + Cp_Database_200!$J132/0.25, 2), "-")</f>
        <v>66.59</v>
      </c>
      <c r="J132" s="15">
        <f>IF(AND(600&gt;=$E132, 600&lt;=$F132), ROUND(Cp_Database_200!$F132 + Cp_Database_200!$G132*0.6 + Cp_Database_200!$H132*0.36 + Cp_Database_200!$I132*0.216 + Cp_Database_200!$J132/0.36, 2), "-")</f>
        <v>72.319999999999993</v>
      </c>
      <c r="K132" s="15">
        <f>IF(AND(700&gt;=$E132, 700&lt;=$F132), ROUND(Cp_Database_200!$F132 + Cp_Database_200!$G132*0.7 + Cp_Database_200!$H132*0.49 + Cp_Database_200!$I132*0.343 + Cp_Database_200!$J132/0.49, 2), "-")</f>
        <v>77.040000000000006</v>
      </c>
      <c r="L132" s="15">
        <f>IF(AND(800&gt;=$E132, 800&lt;=$F132), ROUND(Cp_Database_200!$F132 + Cp_Database_200!$G132*0.8 + Cp_Database_200!$H132*0.64 + Cp_Database_200!$I132*0.512 + Cp_Database_200!$J132/0.64, 2), "-")</f>
        <v>80.91</v>
      </c>
      <c r="M132" s="15">
        <f>IF(AND(1000&gt;=$E132, 1000&lt;=$F132), ROUND(Cp_Database_200!$F132 + Cp_Database_200!$G132*1 + Cp_Database_200!$H132*1 + Cp_Database_200!$I132*1 + Cp_Database_200!$J132/1, 2), "-")</f>
        <v>86.8</v>
      </c>
      <c r="N132" s="15">
        <f>IF(AND(1200&gt;=$E132, 1200&lt;=$F132), ROUND(Cp_Database_200!$F132 + Cp_Database_200!$G132*1.2 + Cp_Database_200!$H132*1.44 + Cp_Database_200!$I132*1.728 + Cp_Database_200!$J132/1.44, 2), "-")</f>
        <v>91.3</v>
      </c>
      <c r="O132" s="15" t="str">
        <f>IF(AND(1500&gt;=$E132, 1500&lt;=$F132), ROUND(Cp_Database_200!$F132 + Cp_Database_200!$G132*1.5 + Cp_Database_200!$H132*2.25 + Cp_Database_200!$I132*3.375 + Cp_Database_200!$J132/2.25, 2), "-")</f>
        <v>-</v>
      </c>
      <c r="P132" s="15" t="str">
        <f>IF(AND(2000&gt;=$E132, 2000&lt;=$F132), ROUND(Cp_Database_200!$F132 + Cp_Database_200!$G132*2 + Cp_Database_200!$H132*4 + Cp_Database_200!$I132*8 + Cp_Database_200!$J132/4, 2), "-")</f>
        <v>-</v>
      </c>
    </row>
    <row r="133" spans="1:16" ht="15" x14ac:dyDescent="0.3">
      <c r="A133" s="8">
        <f>Cp_Database_200!A133</f>
        <v>132</v>
      </c>
      <c r="B133" s="9" t="str">
        <f>Cp_Database_200!B133</f>
        <v>Chloroform</v>
      </c>
      <c r="C133" s="10" t="str">
        <f>Cp_Database_200!C133</f>
        <v>CHCl3</v>
      </c>
      <c r="D133" s="9" t="str">
        <f>Cp_Database_200!E133</f>
        <v>Technological Fluid &amp; Gas</v>
      </c>
      <c r="E133" s="12">
        <f>Cp_Database_200!K133</f>
        <v>298</v>
      </c>
      <c r="F133" s="12">
        <f>Cp_Database_200!L133</f>
        <v>1200</v>
      </c>
      <c r="G133" s="16">
        <f>IF(AND(298.15&gt;=$E133, 298.15&lt;=$F133), ROUND(Cp_Database_200!$F133 + Cp_Database_200!$G133*0.29815 + Cp_Database_200!$H133*0.08889342 + Cp_Database_200!$I133*0.02650357 + Cp_Database_200!$J133/0.08889342, 2), "-")</f>
        <v>65.349999999999994</v>
      </c>
      <c r="H133" s="16">
        <f>IF(AND(400&gt;=$E133, 400&lt;=$F133), ROUND(Cp_Database_200!$F133 + Cp_Database_200!$G133*0.4 + Cp_Database_200!$H133*0.16 + Cp_Database_200!$I133*0.064 + Cp_Database_200!$J133/0.16, 2), "-")</f>
        <v>74.3</v>
      </c>
      <c r="I133" s="16">
        <f>IF(AND(500&gt;=$E133, 500&lt;=$F133), ROUND(Cp_Database_200!$F133 + Cp_Database_200!$G133*0.5 + Cp_Database_200!$H133*0.25 + Cp_Database_200!$I133*0.125 + Cp_Database_200!$J133/0.25, 2), "-")</f>
        <v>80.53</v>
      </c>
      <c r="J133" s="16">
        <f>IF(AND(600&gt;=$E133, 600&lt;=$F133), ROUND(Cp_Database_200!$F133 + Cp_Database_200!$G133*0.6 + Cp_Database_200!$H133*0.36 + Cp_Database_200!$I133*0.216 + Cp_Database_200!$J133/0.36, 2), "-")</f>
        <v>85.22</v>
      </c>
      <c r="K133" s="16">
        <f>IF(AND(700&gt;=$E133, 700&lt;=$F133), ROUND(Cp_Database_200!$F133 + Cp_Database_200!$G133*0.7 + Cp_Database_200!$H133*0.49 + Cp_Database_200!$I133*0.343 + Cp_Database_200!$J133/0.49, 2), "-")</f>
        <v>88.81</v>
      </c>
      <c r="L133" s="16">
        <f>IF(AND(800&gt;=$E133, 800&lt;=$F133), ROUND(Cp_Database_200!$F133 + Cp_Database_200!$G133*0.8 + Cp_Database_200!$H133*0.64 + Cp_Database_200!$I133*0.512 + Cp_Database_200!$J133/0.64, 2), "-")</f>
        <v>91.59</v>
      </c>
      <c r="M133" s="16">
        <f>IF(AND(1000&gt;=$E133, 1000&lt;=$F133), ROUND(Cp_Database_200!$F133 + Cp_Database_200!$G133*1 + Cp_Database_200!$H133*1 + Cp_Database_200!$I133*1 + Cp_Database_200!$J133/1, 2), "-")</f>
        <v>95.48</v>
      </c>
      <c r="N133" s="16">
        <f>IF(AND(1200&gt;=$E133, 1200&lt;=$F133), ROUND(Cp_Database_200!$F133 + Cp_Database_200!$G133*1.2 + Cp_Database_200!$H133*1.44 + Cp_Database_200!$I133*1.728 + Cp_Database_200!$J133/1.44, 2), "-")</f>
        <v>98.35</v>
      </c>
      <c r="O133" s="16" t="str">
        <f>IF(AND(1500&gt;=$E133, 1500&lt;=$F133), ROUND(Cp_Database_200!$F133 + Cp_Database_200!$G133*1.5 + Cp_Database_200!$H133*2.25 + Cp_Database_200!$I133*3.375 + Cp_Database_200!$J133/2.25, 2), "-")</f>
        <v>-</v>
      </c>
      <c r="P133" s="16" t="str">
        <f>IF(AND(2000&gt;=$E133, 2000&lt;=$F133), ROUND(Cp_Database_200!$F133 + Cp_Database_200!$G133*2 + Cp_Database_200!$H133*4 + Cp_Database_200!$I133*8 + Cp_Database_200!$J133/4, 2), "-")</f>
        <v>-</v>
      </c>
    </row>
    <row r="134" spans="1:16" ht="15" x14ac:dyDescent="0.3">
      <c r="A134" s="2">
        <f>Cp_Database_200!A134</f>
        <v>133</v>
      </c>
      <c r="B134" s="3" t="str">
        <f>Cp_Database_200!B134</f>
        <v>Carbon Tetrachloride</v>
      </c>
      <c r="C134" s="4" t="str">
        <f>Cp_Database_200!C134</f>
        <v>CCl4</v>
      </c>
      <c r="D134" s="3" t="str">
        <f>Cp_Database_200!E134</f>
        <v>Technological Fluid &amp; Gas</v>
      </c>
      <c r="E134" s="6">
        <f>Cp_Database_200!K134</f>
        <v>298</v>
      </c>
      <c r="F134" s="6">
        <f>Cp_Database_200!L134</f>
        <v>6000</v>
      </c>
      <c r="G134" s="15">
        <f>IF(AND(298.15&gt;=$E134, 298.15&lt;=$F134), ROUND(Cp_Database_200!$F134 + Cp_Database_200!$G134*0.29815 + Cp_Database_200!$H134*0.08889342 + Cp_Database_200!$I134*0.02650357 + Cp_Database_200!$J134/0.08889342, 2), "-")</f>
        <v>82.67</v>
      </c>
      <c r="H134" s="15">
        <f>IF(AND(400&gt;=$E134, 400&lt;=$F134), ROUND(Cp_Database_200!$F134 + Cp_Database_200!$G134*0.4 + Cp_Database_200!$H134*0.16 + Cp_Database_200!$I134*0.064 + Cp_Database_200!$J134/0.16, 2), "-")</f>
        <v>92.62</v>
      </c>
      <c r="I134" s="15">
        <f>IF(AND(500&gt;=$E134, 500&lt;=$F134), ROUND(Cp_Database_200!$F134 + Cp_Database_200!$G134*0.5 + Cp_Database_200!$H134*0.25 + Cp_Database_200!$I134*0.125 + Cp_Database_200!$J134/0.25, 2), "-")</f>
        <v>97.26</v>
      </c>
      <c r="J134" s="15">
        <f>IF(AND(600&gt;=$E134, 600&lt;=$F134), ROUND(Cp_Database_200!$F134 + Cp_Database_200!$G134*0.6 + Cp_Database_200!$H134*0.36 + Cp_Database_200!$I134*0.216 + Cp_Database_200!$J134/0.36, 2), "-")</f>
        <v>99.91</v>
      </c>
      <c r="K134" s="15">
        <f>IF(AND(700&gt;=$E134, 700&lt;=$F134), ROUND(Cp_Database_200!$F134 + Cp_Database_200!$G134*0.7 + Cp_Database_200!$H134*0.49 + Cp_Database_200!$I134*0.343 + Cp_Database_200!$J134/0.49, 2), "-")</f>
        <v>101.61</v>
      </c>
      <c r="L134" s="15">
        <f>IF(AND(800&gt;=$E134, 800&lt;=$F134), ROUND(Cp_Database_200!$F134 + Cp_Database_200!$G134*0.8 + Cp_Database_200!$H134*0.64 + Cp_Database_200!$I134*0.512 + Cp_Database_200!$J134/0.64, 2), "-")</f>
        <v>102.79</v>
      </c>
      <c r="M134" s="15">
        <f>IF(AND(1000&gt;=$E134, 1000&lt;=$F134), ROUND(Cp_Database_200!$F134 + Cp_Database_200!$G134*1 + Cp_Database_200!$H134*1 + Cp_Database_200!$I134*1 + Cp_Database_200!$J134/1, 2), "-")</f>
        <v>104.35</v>
      </c>
      <c r="N134" s="15">
        <f>IF(AND(1200&gt;=$E134, 1200&lt;=$F134), ROUND(Cp_Database_200!$F134 + Cp_Database_200!$G134*1.2 + Cp_Database_200!$H134*1.44 + Cp_Database_200!$I134*1.728 + Cp_Database_200!$J134/1.44, 2), "-")</f>
        <v>105.35</v>
      </c>
      <c r="O134" s="15">
        <f>IF(AND(1500&gt;=$E134, 1500&lt;=$F134), ROUND(Cp_Database_200!$F134 + Cp_Database_200!$G134*1.5 + Cp_Database_200!$H134*2.25 + Cp_Database_200!$I134*3.375 + Cp_Database_200!$J134/2.25, 2), "-")</f>
        <v>106.33</v>
      </c>
      <c r="P134" s="15">
        <f>IF(AND(2000&gt;=$E134, 2000&lt;=$F134), ROUND(Cp_Database_200!$F134 + Cp_Database_200!$G134*2 + Cp_Database_200!$H134*4 + Cp_Database_200!$I134*8 + Cp_Database_200!$J134/4, 2), "-")</f>
        <v>107.27</v>
      </c>
    </row>
    <row r="135" spans="1:16" ht="15" x14ac:dyDescent="0.3">
      <c r="A135" s="8">
        <f>Cp_Database_200!A135</f>
        <v>134</v>
      </c>
      <c r="B135" s="9" t="str">
        <f>Cp_Database_200!B135</f>
        <v>Tetrafluoroethylene</v>
      </c>
      <c r="C135" s="10" t="str">
        <f>Cp_Database_200!C135</f>
        <v>C2F4</v>
      </c>
      <c r="D135" s="9" t="str">
        <f>Cp_Database_200!E135</f>
        <v>Technological Fluid &amp; Gas</v>
      </c>
      <c r="E135" s="12">
        <f>Cp_Database_200!K135</f>
        <v>298</v>
      </c>
      <c r="F135" s="12">
        <f>Cp_Database_200!L135</f>
        <v>1100</v>
      </c>
      <c r="G135" s="16">
        <f>IF(AND(298.15&gt;=$E135, 298.15&lt;=$F135), ROUND(Cp_Database_200!$F135 + Cp_Database_200!$G135*0.29815 + Cp_Database_200!$H135*0.08889342 + Cp_Database_200!$I135*0.02650357 + Cp_Database_200!$J135/0.08889342, 2), "-")</f>
        <v>80.45</v>
      </c>
      <c r="H135" s="16">
        <f>IF(AND(400&gt;=$E135, 400&lt;=$F135), ROUND(Cp_Database_200!$F135 + Cp_Database_200!$G135*0.4 + Cp_Database_200!$H135*0.16 + Cp_Database_200!$I135*0.064 + Cp_Database_200!$J135/0.16, 2), "-")</f>
        <v>91.92</v>
      </c>
      <c r="I135" s="16">
        <f>IF(AND(500&gt;=$E135, 500&lt;=$F135), ROUND(Cp_Database_200!$F135 + Cp_Database_200!$G135*0.5 + Cp_Database_200!$H135*0.25 + Cp_Database_200!$I135*0.125 + Cp_Database_200!$J135/0.25, 2), "-")</f>
        <v>100.34</v>
      </c>
      <c r="J135" s="16">
        <f>IF(AND(600&gt;=$E135, 600&lt;=$F135), ROUND(Cp_Database_200!$F135 + Cp_Database_200!$G135*0.6 + Cp_Database_200!$H135*0.36 + Cp_Database_200!$I135*0.216 + Cp_Database_200!$J135/0.36, 2), "-")</f>
        <v>106.81</v>
      </c>
      <c r="K135" s="16">
        <f>IF(AND(700&gt;=$E135, 700&lt;=$F135), ROUND(Cp_Database_200!$F135 + Cp_Database_200!$G135*0.7 + Cp_Database_200!$H135*0.49 + Cp_Database_200!$I135*0.343 + Cp_Database_200!$J135/0.49, 2), "-")</f>
        <v>111.77</v>
      </c>
      <c r="L135" s="16">
        <f>IF(AND(800&gt;=$E135, 800&lt;=$F135), ROUND(Cp_Database_200!$F135 + Cp_Database_200!$G135*0.8 + Cp_Database_200!$H135*0.64 + Cp_Database_200!$I135*0.512 + Cp_Database_200!$J135/0.64, 2), "-")</f>
        <v>115.56</v>
      </c>
      <c r="M135" s="16">
        <f>IF(AND(1000&gt;=$E135, 1000&lt;=$F135), ROUND(Cp_Database_200!$F135 + Cp_Database_200!$G135*1 + Cp_Database_200!$H135*1 + Cp_Database_200!$I135*1 + Cp_Database_200!$J135/1, 2), "-")</f>
        <v>120.7</v>
      </c>
      <c r="N135" s="16" t="str">
        <f>IF(AND(1200&gt;=$E135, 1200&lt;=$F135), ROUND(Cp_Database_200!$F135 + Cp_Database_200!$G135*1.2 + Cp_Database_200!$H135*1.44 + Cp_Database_200!$I135*1.728 + Cp_Database_200!$J135/1.44, 2), "-")</f>
        <v>-</v>
      </c>
      <c r="O135" s="16" t="str">
        <f>IF(AND(1500&gt;=$E135, 1500&lt;=$F135), ROUND(Cp_Database_200!$F135 + Cp_Database_200!$G135*1.5 + Cp_Database_200!$H135*2.25 + Cp_Database_200!$I135*3.375 + Cp_Database_200!$J135/2.25, 2), "-")</f>
        <v>-</v>
      </c>
      <c r="P135" s="16" t="str">
        <f>IF(AND(2000&gt;=$E135, 2000&lt;=$F135), ROUND(Cp_Database_200!$F135 + Cp_Database_200!$G135*2 + Cp_Database_200!$H135*4 + Cp_Database_200!$I135*8 + Cp_Database_200!$J135/4, 2), "-")</f>
        <v>-</v>
      </c>
    </row>
    <row r="136" spans="1:16" ht="15" x14ac:dyDescent="0.3">
      <c r="A136" s="2">
        <f>Cp_Database_200!A136</f>
        <v>135</v>
      </c>
      <c r="B136" s="3" t="str">
        <f>Cp_Database_200!B136</f>
        <v>Sulfur Trioxide</v>
      </c>
      <c r="C136" s="4" t="str">
        <f>Cp_Database_200!C136</f>
        <v>SO3</v>
      </c>
      <c r="D136" s="3" t="str">
        <f>Cp_Database_200!E136</f>
        <v>Technological Fluid &amp; Gas</v>
      </c>
      <c r="E136" s="6">
        <f>Cp_Database_200!K136</f>
        <v>298</v>
      </c>
      <c r="F136" s="6">
        <f>Cp_Database_200!L136</f>
        <v>1200</v>
      </c>
      <c r="G136" s="15">
        <f>IF(AND(298.15&gt;=$E136, 298.15&lt;=$F136), ROUND(Cp_Database_200!$F136 + Cp_Database_200!$G136*0.29815 + Cp_Database_200!$H136*0.08889342 + Cp_Database_200!$I136*0.02650357 + Cp_Database_200!$J136/0.08889342, 2), "-")</f>
        <v>50.64</v>
      </c>
      <c r="H136" s="15">
        <f>IF(AND(400&gt;=$E136, 400&lt;=$F136), ROUND(Cp_Database_200!$F136 + Cp_Database_200!$G136*0.4 + Cp_Database_200!$H136*0.16 + Cp_Database_200!$I136*0.064 + Cp_Database_200!$J136/0.16, 2), "-")</f>
        <v>57.7</v>
      </c>
      <c r="I136" s="15">
        <f>IF(AND(500&gt;=$E136, 500&lt;=$F136), ROUND(Cp_Database_200!$F136 + Cp_Database_200!$G136*0.5 + Cp_Database_200!$H136*0.25 + Cp_Database_200!$I136*0.125 + Cp_Database_200!$J136/0.25, 2), "-")</f>
        <v>63.06</v>
      </c>
      <c r="J136" s="15">
        <f>IF(AND(600&gt;=$E136, 600&lt;=$F136), ROUND(Cp_Database_200!$F136 + Cp_Database_200!$G136*0.6 + Cp_Database_200!$H136*0.36 + Cp_Database_200!$I136*0.216 + Cp_Database_200!$J136/0.36, 2), "-")</f>
        <v>67.22</v>
      </c>
      <c r="K136" s="15">
        <f>IF(AND(700&gt;=$E136, 700&lt;=$F136), ROUND(Cp_Database_200!$F136 + Cp_Database_200!$G136*0.7 + Cp_Database_200!$H136*0.49 + Cp_Database_200!$I136*0.343 + Cp_Database_200!$J136/0.49, 2), "-")</f>
        <v>70.41</v>
      </c>
      <c r="L136" s="15">
        <f>IF(AND(800&gt;=$E136, 800&lt;=$F136), ROUND(Cp_Database_200!$F136 + Cp_Database_200!$G136*0.8 + Cp_Database_200!$H136*0.64 + Cp_Database_200!$I136*0.512 + Cp_Database_200!$J136/0.64, 2), "-")</f>
        <v>72.81</v>
      </c>
      <c r="M136" s="15">
        <f>IF(AND(1000&gt;=$E136, 1000&lt;=$F136), ROUND(Cp_Database_200!$F136 + Cp_Database_200!$G136*1 + Cp_Database_200!$H136*1 + Cp_Database_200!$I136*1 + Cp_Database_200!$J136/1, 2), "-")</f>
        <v>75.94</v>
      </c>
      <c r="N136" s="15">
        <f>IF(AND(1200&gt;=$E136, 1200&lt;=$F136), ROUND(Cp_Database_200!$F136 + Cp_Database_200!$G136*1.2 + Cp_Database_200!$H136*1.44 + Cp_Database_200!$I136*1.728 + Cp_Database_200!$J136/1.44, 2), "-")</f>
        <v>77.97</v>
      </c>
      <c r="O136" s="15" t="str">
        <f>IF(AND(1500&gt;=$E136, 1500&lt;=$F136), ROUND(Cp_Database_200!$F136 + Cp_Database_200!$G136*1.5 + Cp_Database_200!$H136*2.25 + Cp_Database_200!$I136*3.375 + Cp_Database_200!$J136/2.25, 2), "-")</f>
        <v>-</v>
      </c>
      <c r="P136" s="15" t="str">
        <f>IF(AND(2000&gt;=$E136, 2000&lt;=$F136), ROUND(Cp_Database_200!$F136 + Cp_Database_200!$G136*2 + Cp_Database_200!$H136*4 + Cp_Database_200!$I136*8 + Cp_Database_200!$J136/4, 2), "-")</f>
        <v>-</v>
      </c>
    </row>
    <row r="137" spans="1:16" ht="15" x14ac:dyDescent="0.3">
      <c r="A137" s="8">
        <f>Cp_Database_200!A137</f>
        <v>136</v>
      </c>
      <c r="B137" s="9" t="str">
        <f>Cp_Database_200!B137</f>
        <v>Hydrogen Sulfide</v>
      </c>
      <c r="C137" s="10" t="str">
        <f>Cp_Database_200!C137</f>
        <v>H2S</v>
      </c>
      <c r="D137" s="9" t="str">
        <f>Cp_Database_200!E137</f>
        <v>Technological Fluid &amp; Gas</v>
      </c>
      <c r="E137" s="12">
        <f>Cp_Database_200!K137</f>
        <v>298</v>
      </c>
      <c r="F137" s="12">
        <f>Cp_Database_200!L137</f>
        <v>1400</v>
      </c>
      <c r="G137" s="16">
        <f>IF(AND(298.15&gt;=$E137, 298.15&lt;=$F137), ROUND(Cp_Database_200!$F137 + Cp_Database_200!$G137*0.29815 + Cp_Database_200!$H137*0.08889342 + Cp_Database_200!$I137*0.02650357 + Cp_Database_200!$J137/0.08889342, 2), "-")</f>
        <v>34.200000000000003</v>
      </c>
      <c r="H137" s="16">
        <f>IF(AND(400&gt;=$E137, 400&lt;=$F137), ROUND(Cp_Database_200!$F137 + Cp_Database_200!$G137*0.4 + Cp_Database_200!$H137*0.16 + Cp_Database_200!$I137*0.064 + Cp_Database_200!$J137/0.16, 2), "-")</f>
        <v>35.54</v>
      </c>
      <c r="I137" s="16">
        <f>IF(AND(500&gt;=$E137, 500&lt;=$F137), ROUND(Cp_Database_200!$F137 + Cp_Database_200!$G137*0.5 + Cp_Database_200!$H137*0.25 + Cp_Database_200!$I137*0.125 + Cp_Database_200!$J137/0.25, 2), "-")</f>
        <v>37.200000000000003</v>
      </c>
      <c r="J137" s="16">
        <f>IF(AND(600&gt;=$E137, 600&lt;=$F137), ROUND(Cp_Database_200!$F137 + Cp_Database_200!$G137*0.6 + Cp_Database_200!$H137*0.36 + Cp_Database_200!$I137*0.216 + Cp_Database_200!$J137/0.36, 2), "-")</f>
        <v>38.97</v>
      </c>
      <c r="K137" s="16">
        <f>IF(AND(700&gt;=$E137, 700&lt;=$F137), ROUND(Cp_Database_200!$F137 + Cp_Database_200!$G137*0.7 + Cp_Database_200!$H137*0.49 + Cp_Database_200!$I137*0.343 + Cp_Database_200!$J137/0.49, 2), "-")</f>
        <v>40.76</v>
      </c>
      <c r="L137" s="16">
        <f>IF(AND(800&gt;=$E137, 800&lt;=$F137), ROUND(Cp_Database_200!$F137 + Cp_Database_200!$G137*0.8 + Cp_Database_200!$H137*0.64 + Cp_Database_200!$I137*0.512 + Cp_Database_200!$J137/0.64, 2), "-")</f>
        <v>42.51</v>
      </c>
      <c r="M137" s="16">
        <f>IF(AND(1000&gt;=$E137, 1000&lt;=$F137), ROUND(Cp_Database_200!$F137 + Cp_Database_200!$G137*1 + Cp_Database_200!$H137*1 + Cp_Database_200!$I137*1 + Cp_Database_200!$J137/1, 2), "-")</f>
        <v>45.75</v>
      </c>
      <c r="N137" s="16">
        <f>IF(AND(1200&gt;=$E137, 1200&lt;=$F137), ROUND(Cp_Database_200!$F137 + Cp_Database_200!$G137*1.2 + Cp_Database_200!$H137*1.44 + Cp_Database_200!$I137*1.728 + Cp_Database_200!$J137/1.44, 2), "-")</f>
        <v>48.5</v>
      </c>
      <c r="O137" s="16" t="str">
        <f>IF(AND(1500&gt;=$E137, 1500&lt;=$F137), ROUND(Cp_Database_200!$F137 + Cp_Database_200!$G137*1.5 + Cp_Database_200!$H137*2.25 + Cp_Database_200!$I137*3.375 + Cp_Database_200!$J137/2.25, 2), "-")</f>
        <v>-</v>
      </c>
      <c r="P137" s="16" t="str">
        <f>IF(AND(2000&gt;=$E137, 2000&lt;=$F137), ROUND(Cp_Database_200!$F137 + Cp_Database_200!$G137*2 + Cp_Database_200!$H137*4 + Cp_Database_200!$I137*8 + Cp_Database_200!$J137/4, 2), "-")</f>
        <v>-</v>
      </c>
    </row>
    <row r="138" spans="1:16" ht="15" x14ac:dyDescent="0.3">
      <c r="A138" s="2">
        <f>Cp_Database_200!A138</f>
        <v>137</v>
      </c>
      <c r="B138" s="3" t="str">
        <f>Cp_Database_200!B138</f>
        <v>Carbonyl Sulfide</v>
      </c>
      <c r="C138" s="4" t="str">
        <f>Cp_Database_200!C138</f>
        <v>COS</v>
      </c>
      <c r="D138" s="3" t="str">
        <f>Cp_Database_200!E138</f>
        <v>Technological Fluid &amp; Gas</v>
      </c>
      <c r="E138" s="6">
        <f>Cp_Database_200!K138</f>
        <v>298</v>
      </c>
      <c r="F138" s="6">
        <f>Cp_Database_200!L138</f>
        <v>1200</v>
      </c>
      <c r="G138" s="15">
        <f>IF(AND(298.15&gt;=$E138, 298.15&lt;=$F138), ROUND(Cp_Database_200!$F138 + Cp_Database_200!$G138*0.29815 + Cp_Database_200!$H138*0.08889342 + Cp_Database_200!$I138*0.02650357 + Cp_Database_200!$J138/0.08889342, 2), "-")</f>
        <v>41.49</v>
      </c>
      <c r="H138" s="15">
        <f>IF(AND(400&gt;=$E138, 400&lt;=$F138), ROUND(Cp_Database_200!$F138 + Cp_Database_200!$G138*0.4 + Cp_Database_200!$H138*0.16 + Cp_Database_200!$I138*0.064 + Cp_Database_200!$J138/0.16, 2), "-")</f>
        <v>45.86</v>
      </c>
      <c r="I138" s="15">
        <f>IF(AND(500&gt;=$E138, 500&lt;=$F138), ROUND(Cp_Database_200!$F138 + Cp_Database_200!$G138*0.5 + Cp_Database_200!$H138*0.25 + Cp_Database_200!$I138*0.125 + Cp_Database_200!$J138/0.25, 2), "-")</f>
        <v>48.89</v>
      </c>
      <c r="J138" s="15">
        <f>IF(AND(600&gt;=$E138, 600&lt;=$F138), ROUND(Cp_Database_200!$F138 + Cp_Database_200!$G138*0.6 + Cp_Database_200!$H138*0.36 + Cp_Database_200!$I138*0.216 + Cp_Database_200!$J138/0.36, 2), "-")</f>
        <v>51.25</v>
      </c>
      <c r="K138" s="15">
        <f>IF(AND(700&gt;=$E138, 700&lt;=$F138), ROUND(Cp_Database_200!$F138 + Cp_Database_200!$G138*0.7 + Cp_Database_200!$H138*0.49 + Cp_Database_200!$I138*0.343 + Cp_Database_200!$J138/0.49, 2), "-")</f>
        <v>53.14</v>
      </c>
      <c r="L138" s="15">
        <f>IF(AND(800&gt;=$E138, 800&lt;=$F138), ROUND(Cp_Database_200!$F138 + Cp_Database_200!$G138*0.8 + Cp_Database_200!$H138*0.64 + Cp_Database_200!$I138*0.512 + Cp_Database_200!$J138/0.64, 2), "-")</f>
        <v>54.68</v>
      </c>
      <c r="M138" s="15">
        <f>IF(AND(1000&gt;=$E138, 1000&lt;=$F138), ROUND(Cp_Database_200!$F138 + Cp_Database_200!$G138*1 + Cp_Database_200!$H138*1 + Cp_Database_200!$I138*1 + Cp_Database_200!$J138/1, 2), "-")</f>
        <v>56.99</v>
      </c>
      <c r="N138" s="15">
        <f>IF(AND(1200&gt;=$E138, 1200&lt;=$F138), ROUND(Cp_Database_200!$F138 + Cp_Database_200!$G138*1.2 + Cp_Database_200!$H138*1.44 + Cp_Database_200!$I138*1.728 + Cp_Database_200!$J138/1.44, 2), "-")</f>
        <v>58.6</v>
      </c>
      <c r="O138" s="15" t="str">
        <f>IF(AND(1500&gt;=$E138, 1500&lt;=$F138), ROUND(Cp_Database_200!$F138 + Cp_Database_200!$G138*1.5 + Cp_Database_200!$H138*2.25 + Cp_Database_200!$I138*3.375 + Cp_Database_200!$J138/2.25, 2), "-")</f>
        <v>-</v>
      </c>
      <c r="P138" s="15" t="str">
        <f>IF(AND(2000&gt;=$E138, 2000&lt;=$F138), ROUND(Cp_Database_200!$F138 + Cp_Database_200!$G138*2 + Cp_Database_200!$H138*4 + Cp_Database_200!$I138*8 + Cp_Database_200!$J138/4, 2), "-")</f>
        <v>-</v>
      </c>
    </row>
    <row r="139" spans="1:16" ht="15" x14ac:dyDescent="0.3">
      <c r="A139" s="8">
        <f>Cp_Database_200!A139</f>
        <v>138</v>
      </c>
      <c r="B139" s="9" t="str">
        <f>Cp_Database_200!B139</f>
        <v>Carbon Disulfide</v>
      </c>
      <c r="C139" s="10" t="str">
        <f>Cp_Database_200!C139</f>
        <v>CS2</v>
      </c>
      <c r="D139" s="9" t="str">
        <f>Cp_Database_200!E139</f>
        <v>Technological Fluid &amp; Gas</v>
      </c>
      <c r="E139" s="12">
        <f>Cp_Database_200!K139</f>
        <v>298</v>
      </c>
      <c r="F139" s="12">
        <f>Cp_Database_200!L139</f>
        <v>1000</v>
      </c>
      <c r="G139" s="16">
        <f>IF(AND(298.15&gt;=$E139, 298.15&lt;=$F139), ROUND(Cp_Database_200!$F139 + Cp_Database_200!$G139*0.29815 + Cp_Database_200!$H139*0.08889342 + Cp_Database_200!$I139*0.02650357 + Cp_Database_200!$J139/0.08889342, 2), "-")</f>
        <v>45.66</v>
      </c>
      <c r="H139" s="16">
        <f>IF(AND(400&gt;=$E139, 400&lt;=$F139), ROUND(Cp_Database_200!$F139 + Cp_Database_200!$G139*0.4 + Cp_Database_200!$H139*0.16 + Cp_Database_200!$I139*0.064 + Cp_Database_200!$J139/0.16, 2), "-")</f>
        <v>49.68</v>
      </c>
      <c r="I139" s="16">
        <f>IF(AND(500&gt;=$E139, 500&lt;=$F139), ROUND(Cp_Database_200!$F139 + Cp_Database_200!$G139*0.5 + Cp_Database_200!$H139*0.25 + Cp_Database_200!$I139*0.125 + Cp_Database_200!$J139/0.25, 2), "-")</f>
        <v>52.49</v>
      </c>
      <c r="J139" s="16">
        <f>IF(AND(600&gt;=$E139, 600&lt;=$F139), ROUND(Cp_Database_200!$F139 + Cp_Database_200!$G139*0.6 + Cp_Database_200!$H139*0.36 + Cp_Database_200!$I139*0.216 + Cp_Database_200!$J139/0.36, 2), "-")</f>
        <v>54.61</v>
      </c>
      <c r="K139" s="16">
        <f>IF(AND(700&gt;=$E139, 700&lt;=$F139), ROUND(Cp_Database_200!$F139 + Cp_Database_200!$G139*0.7 + Cp_Database_200!$H139*0.49 + Cp_Database_200!$I139*0.343 + Cp_Database_200!$J139/0.49, 2), "-")</f>
        <v>56.25</v>
      </c>
      <c r="L139" s="16">
        <f>IF(AND(800&gt;=$E139, 800&lt;=$F139), ROUND(Cp_Database_200!$F139 + Cp_Database_200!$G139*0.8 + Cp_Database_200!$H139*0.64 + Cp_Database_200!$I139*0.512 + Cp_Database_200!$J139/0.64, 2), "-")</f>
        <v>57.5</v>
      </c>
      <c r="M139" s="16">
        <f>IF(AND(1000&gt;=$E139, 1000&lt;=$F139), ROUND(Cp_Database_200!$F139 + Cp_Database_200!$G139*1 + Cp_Database_200!$H139*1 + Cp_Database_200!$I139*1 + Cp_Database_200!$J139/1, 2), "-")</f>
        <v>59.28</v>
      </c>
      <c r="N139" s="16" t="str">
        <f>IF(AND(1200&gt;=$E139, 1200&lt;=$F139), ROUND(Cp_Database_200!$F139 + Cp_Database_200!$G139*1.2 + Cp_Database_200!$H139*1.44 + Cp_Database_200!$I139*1.728 + Cp_Database_200!$J139/1.44, 2), "-")</f>
        <v>-</v>
      </c>
      <c r="O139" s="16" t="str">
        <f>IF(AND(1500&gt;=$E139, 1500&lt;=$F139), ROUND(Cp_Database_200!$F139 + Cp_Database_200!$G139*1.5 + Cp_Database_200!$H139*2.25 + Cp_Database_200!$I139*3.375 + Cp_Database_200!$J139/2.25, 2), "-")</f>
        <v>-</v>
      </c>
      <c r="P139" s="16" t="str">
        <f>IF(AND(2000&gt;=$E139, 2000&lt;=$F139), ROUND(Cp_Database_200!$F139 + Cp_Database_200!$G139*2 + Cp_Database_200!$H139*4 + Cp_Database_200!$I139*8 + Cp_Database_200!$J139/4, 2), "-")</f>
        <v>-</v>
      </c>
    </row>
    <row r="140" spans="1:16" ht="15" x14ac:dyDescent="0.3">
      <c r="A140" s="2">
        <f>Cp_Database_200!A140</f>
        <v>139</v>
      </c>
      <c r="B140" s="3" t="str">
        <f>Cp_Database_200!B140</f>
        <v>Hydrogen Chloride</v>
      </c>
      <c r="C140" s="4" t="str">
        <f>Cp_Database_200!C140</f>
        <v>HCl</v>
      </c>
      <c r="D140" s="3" t="str">
        <f>Cp_Database_200!E140</f>
        <v>Technological Fluid &amp; Gas</v>
      </c>
      <c r="E140" s="6">
        <f>Cp_Database_200!K140</f>
        <v>298</v>
      </c>
      <c r="F140" s="6">
        <f>Cp_Database_200!L140</f>
        <v>1200</v>
      </c>
      <c r="G140" s="15">
        <f>IF(AND(298.15&gt;=$E140, 298.15&lt;=$F140), ROUND(Cp_Database_200!$F140 + Cp_Database_200!$G140*0.29815 + Cp_Database_200!$H140*0.08889342 + Cp_Database_200!$I140*0.02650357 + Cp_Database_200!$J140/0.08889342, 2), "-")</f>
        <v>29.14</v>
      </c>
      <c r="H140" s="15">
        <f>IF(AND(400&gt;=$E140, 400&lt;=$F140), ROUND(Cp_Database_200!$F140 + Cp_Database_200!$G140*0.4 + Cp_Database_200!$H140*0.16 + Cp_Database_200!$I140*0.064 + Cp_Database_200!$J140/0.16, 2), "-")</f>
        <v>29.17</v>
      </c>
      <c r="I140" s="15">
        <f>IF(AND(500&gt;=$E140, 500&lt;=$F140), ROUND(Cp_Database_200!$F140 + Cp_Database_200!$G140*0.5 + Cp_Database_200!$H140*0.25 + Cp_Database_200!$I140*0.125 + Cp_Database_200!$J140/0.25, 2), "-")</f>
        <v>29.31</v>
      </c>
      <c r="J140" s="15">
        <f>IF(AND(600&gt;=$E140, 600&lt;=$F140), ROUND(Cp_Database_200!$F140 + Cp_Database_200!$G140*0.6 + Cp_Database_200!$H140*0.36 + Cp_Database_200!$I140*0.216 + Cp_Database_200!$J140/0.36, 2), "-")</f>
        <v>29.58</v>
      </c>
      <c r="K140" s="15">
        <f>IF(AND(700&gt;=$E140, 700&lt;=$F140), ROUND(Cp_Database_200!$F140 + Cp_Database_200!$G140*0.7 + Cp_Database_200!$H140*0.49 + Cp_Database_200!$I140*0.343 + Cp_Database_200!$J140/0.49, 2), "-")</f>
        <v>29.99</v>
      </c>
      <c r="L140" s="15">
        <f>IF(AND(800&gt;=$E140, 800&lt;=$F140), ROUND(Cp_Database_200!$F140 + Cp_Database_200!$G140*0.8 + Cp_Database_200!$H140*0.64 + Cp_Database_200!$I140*0.512 + Cp_Database_200!$J140/0.64, 2), "-")</f>
        <v>30.49</v>
      </c>
      <c r="M140" s="15">
        <f>IF(AND(1000&gt;=$E140, 1000&lt;=$F140), ROUND(Cp_Database_200!$F140 + Cp_Database_200!$G140*1 + Cp_Database_200!$H140*1 + Cp_Database_200!$I140*1 + Cp_Database_200!$J140/1, 2), "-")</f>
        <v>31.63</v>
      </c>
      <c r="N140" s="15">
        <f>IF(AND(1200&gt;=$E140, 1200&lt;=$F140), ROUND(Cp_Database_200!$F140 + Cp_Database_200!$G140*1.2 + Cp_Database_200!$H140*1.44 + Cp_Database_200!$I140*1.728 + Cp_Database_200!$J140/1.44, 2), "-")</f>
        <v>32.71</v>
      </c>
      <c r="O140" s="15" t="str">
        <f>IF(AND(1500&gt;=$E140, 1500&lt;=$F140), ROUND(Cp_Database_200!$F140 + Cp_Database_200!$G140*1.5 + Cp_Database_200!$H140*2.25 + Cp_Database_200!$I140*3.375 + Cp_Database_200!$J140/2.25, 2), "-")</f>
        <v>-</v>
      </c>
      <c r="P140" s="15" t="str">
        <f>IF(AND(2000&gt;=$E140, 2000&lt;=$F140), ROUND(Cp_Database_200!$F140 + Cp_Database_200!$G140*2 + Cp_Database_200!$H140*4 + Cp_Database_200!$I140*8 + Cp_Database_200!$J140/4, 2), "-")</f>
        <v>-</v>
      </c>
    </row>
    <row r="141" spans="1:16" ht="15" x14ac:dyDescent="0.3">
      <c r="A141" s="8">
        <f>Cp_Database_200!A141</f>
        <v>140</v>
      </c>
      <c r="B141" s="9" t="str">
        <f>Cp_Database_200!B141</f>
        <v>Hydrogen Fluoride</v>
      </c>
      <c r="C141" s="10" t="str">
        <f>Cp_Database_200!C141</f>
        <v>HF</v>
      </c>
      <c r="D141" s="9" t="str">
        <f>Cp_Database_200!E141</f>
        <v>Technological Fluid &amp; Gas</v>
      </c>
      <c r="E141" s="12">
        <f>Cp_Database_200!K141</f>
        <v>298</v>
      </c>
      <c r="F141" s="12">
        <f>Cp_Database_200!L141</f>
        <v>1000</v>
      </c>
      <c r="G141" s="16">
        <f>IF(AND(298.15&gt;=$E141, 298.15&lt;=$F141), ROUND(Cp_Database_200!$F141 + Cp_Database_200!$G141*0.29815 + Cp_Database_200!$H141*0.08889342 + Cp_Database_200!$I141*0.02650357 + Cp_Database_200!$J141/0.08889342, 2), "-")</f>
        <v>29.14</v>
      </c>
      <c r="H141" s="16">
        <f>IF(AND(400&gt;=$E141, 400&lt;=$F141), ROUND(Cp_Database_200!$F141 + Cp_Database_200!$G141*0.4 + Cp_Database_200!$H141*0.16 + Cp_Database_200!$I141*0.064 + Cp_Database_200!$J141/0.16, 2), "-")</f>
        <v>29.15</v>
      </c>
      <c r="I141" s="16">
        <f>IF(AND(500&gt;=$E141, 500&lt;=$F141), ROUND(Cp_Database_200!$F141 + Cp_Database_200!$G141*0.5 + Cp_Database_200!$H141*0.25 + Cp_Database_200!$I141*0.125 + Cp_Database_200!$J141/0.25, 2), "-")</f>
        <v>29.17</v>
      </c>
      <c r="J141" s="16">
        <f>IF(AND(600&gt;=$E141, 600&lt;=$F141), ROUND(Cp_Database_200!$F141 + Cp_Database_200!$G141*0.6 + Cp_Database_200!$H141*0.36 + Cp_Database_200!$I141*0.216 + Cp_Database_200!$J141/0.36, 2), "-")</f>
        <v>29.23</v>
      </c>
      <c r="K141" s="16">
        <f>IF(AND(700&gt;=$E141, 700&lt;=$F141), ROUND(Cp_Database_200!$F141 + Cp_Database_200!$G141*0.7 + Cp_Database_200!$H141*0.49 + Cp_Database_200!$I141*0.343 + Cp_Database_200!$J141/0.49, 2), "-")</f>
        <v>29.36</v>
      </c>
      <c r="L141" s="16">
        <f>IF(AND(800&gt;=$E141, 800&lt;=$F141), ROUND(Cp_Database_200!$F141 + Cp_Database_200!$G141*0.8 + Cp_Database_200!$H141*0.64 + Cp_Database_200!$I141*0.512 + Cp_Database_200!$J141/0.64, 2), "-")</f>
        <v>29.55</v>
      </c>
      <c r="M141" s="16">
        <f>IF(AND(1000&gt;=$E141, 1000&lt;=$F141), ROUND(Cp_Database_200!$F141 + Cp_Database_200!$G141*1 + Cp_Database_200!$H141*1 + Cp_Database_200!$I141*1 + Cp_Database_200!$J141/1, 2), "-")</f>
        <v>30.17</v>
      </c>
      <c r="N141" s="16" t="str">
        <f>IF(AND(1200&gt;=$E141, 1200&lt;=$F141), ROUND(Cp_Database_200!$F141 + Cp_Database_200!$G141*1.2 + Cp_Database_200!$H141*1.44 + Cp_Database_200!$I141*1.728 + Cp_Database_200!$J141/1.44, 2), "-")</f>
        <v>-</v>
      </c>
      <c r="O141" s="16" t="str">
        <f>IF(AND(1500&gt;=$E141, 1500&lt;=$F141), ROUND(Cp_Database_200!$F141 + Cp_Database_200!$G141*1.5 + Cp_Database_200!$H141*2.25 + Cp_Database_200!$I141*3.375 + Cp_Database_200!$J141/2.25, 2), "-")</f>
        <v>-</v>
      </c>
      <c r="P141" s="16" t="str">
        <f>IF(AND(2000&gt;=$E141, 2000&lt;=$F141), ROUND(Cp_Database_200!$F141 + Cp_Database_200!$G141*2 + Cp_Database_200!$H141*4 + Cp_Database_200!$I141*8 + Cp_Database_200!$J141/4, 2), "-")</f>
        <v>-</v>
      </c>
    </row>
    <row r="142" spans="1:16" ht="15" x14ac:dyDescent="0.3">
      <c r="A142" s="2">
        <f>Cp_Database_200!A142</f>
        <v>141</v>
      </c>
      <c r="B142" s="3" t="str">
        <f>Cp_Database_200!B142</f>
        <v>Hydrogen Bromide</v>
      </c>
      <c r="C142" s="4" t="str">
        <f>Cp_Database_200!C142</f>
        <v>HBr</v>
      </c>
      <c r="D142" s="3" t="str">
        <f>Cp_Database_200!E142</f>
        <v>Technological Fluid &amp; Gas</v>
      </c>
      <c r="E142" s="6">
        <f>Cp_Database_200!K142</f>
        <v>298</v>
      </c>
      <c r="F142" s="6">
        <f>Cp_Database_200!L142</f>
        <v>1100</v>
      </c>
      <c r="G142" s="15">
        <f>IF(AND(298.15&gt;=$E142, 298.15&lt;=$F142), ROUND(Cp_Database_200!$F142 + Cp_Database_200!$G142*0.29815 + Cp_Database_200!$H142*0.08889342 + Cp_Database_200!$I142*0.02650357 + Cp_Database_200!$J142/0.08889342, 2), "-")</f>
        <v>29.14</v>
      </c>
      <c r="H142" s="15">
        <f>IF(AND(400&gt;=$E142, 400&lt;=$F142), ROUND(Cp_Database_200!$F142 + Cp_Database_200!$G142*0.4 + Cp_Database_200!$H142*0.16 + Cp_Database_200!$I142*0.064 + Cp_Database_200!$J142/0.16, 2), "-")</f>
        <v>29.21</v>
      </c>
      <c r="I142" s="15">
        <f>IF(AND(500&gt;=$E142, 500&lt;=$F142), ROUND(Cp_Database_200!$F142 + Cp_Database_200!$G142*0.5 + Cp_Database_200!$H142*0.25 + Cp_Database_200!$I142*0.125 + Cp_Database_200!$J142/0.25, 2), "-")</f>
        <v>29.46</v>
      </c>
      <c r="J142" s="15">
        <f>IF(AND(600&gt;=$E142, 600&lt;=$F142), ROUND(Cp_Database_200!$F142 + Cp_Database_200!$G142*0.6 + Cp_Database_200!$H142*0.36 + Cp_Database_200!$I142*0.216 + Cp_Database_200!$J142/0.36, 2), "-")</f>
        <v>29.88</v>
      </c>
      <c r="K142" s="15">
        <f>IF(AND(700&gt;=$E142, 700&lt;=$F142), ROUND(Cp_Database_200!$F142 + Cp_Database_200!$G142*0.7 + Cp_Database_200!$H142*0.49 + Cp_Database_200!$I142*0.343 + Cp_Database_200!$J142/0.49, 2), "-")</f>
        <v>30.42</v>
      </c>
      <c r="L142" s="15">
        <f>IF(AND(800&gt;=$E142, 800&lt;=$F142), ROUND(Cp_Database_200!$F142 + Cp_Database_200!$G142*0.8 + Cp_Database_200!$H142*0.64 + Cp_Database_200!$I142*0.512 + Cp_Database_200!$J142/0.64, 2), "-")</f>
        <v>31.04</v>
      </c>
      <c r="M142" s="15">
        <f>IF(AND(1000&gt;=$E142, 1000&lt;=$F142), ROUND(Cp_Database_200!$F142 + Cp_Database_200!$G142*1 + Cp_Database_200!$H142*1 + Cp_Database_200!$I142*1 + Cp_Database_200!$J142/1, 2), "-")</f>
        <v>32.33</v>
      </c>
      <c r="N142" s="15" t="str">
        <f>IF(AND(1200&gt;=$E142, 1200&lt;=$F142), ROUND(Cp_Database_200!$F142 + Cp_Database_200!$G142*1.2 + Cp_Database_200!$H142*1.44 + Cp_Database_200!$I142*1.728 + Cp_Database_200!$J142/1.44, 2), "-")</f>
        <v>-</v>
      </c>
      <c r="O142" s="15" t="str">
        <f>IF(AND(1500&gt;=$E142, 1500&lt;=$F142), ROUND(Cp_Database_200!$F142 + Cp_Database_200!$G142*1.5 + Cp_Database_200!$H142*2.25 + Cp_Database_200!$I142*3.375 + Cp_Database_200!$J142/2.25, 2), "-")</f>
        <v>-</v>
      </c>
      <c r="P142" s="15" t="str">
        <f>IF(AND(2000&gt;=$E142, 2000&lt;=$F142), ROUND(Cp_Database_200!$F142 + Cp_Database_200!$G142*2 + Cp_Database_200!$H142*4 + Cp_Database_200!$I142*8 + Cp_Database_200!$J142/4, 2), "-")</f>
        <v>-</v>
      </c>
    </row>
    <row r="143" spans="1:16" ht="15" x14ac:dyDescent="0.3">
      <c r="A143" s="8">
        <f>Cp_Database_200!A143</f>
        <v>142</v>
      </c>
      <c r="B143" s="9" t="str">
        <f>Cp_Database_200!B143</f>
        <v>Hydrogen Iodide</v>
      </c>
      <c r="C143" s="10" t="str">
        <f>Cp_Database_200!C143</f>
        <v>HI</v>
      </c>
      <c r="D143" s="9" t="str">
        <f>Cp_Database_200!E143</f>
        <v>Technological Fluid &amp; Gas</v>
      </c>
      <c r="E143" s="12">
        <f>Cp_Database_200!K143</f>
        <v>298</v>
      </c>
      <c r="F143" s="12">
        <f>Cp_Database_200!L143</f>
        <v>1400</v>
      </c>
      <c r="G143" s="16">
        <f>IF(AND(298.15&gt;=$E143, 298.15&lt;=$F143), ROUND(Cp_Database_200!$F143 + Cp_Database_200!$G143*0.29815 + Cp_Database_200!$H143*0.08889342 + Cp_Database_200!$I143*0.02650357 + Cp_Database_200!$J143/0.08889342, 2), "-")</f>
        <v>29.18</v>
      </c>
      <c r="H143" s="16">
        <f>IF(AND(400&gt;=$E143, 400&lt;=$F143), ROUND(Cp_Database_200!$F143 + Cp_Database_200!$G143*0.4 + Cp_Database_200!$H143*0.16 + Cp_Database_200!$I143*0.064 + Cp_Database_200!$J143/0.16, 2), "-")</f>
        <v>29.3</v>
      </c>
      <c r="I143" s="16">
        <f>IF(AND(500&gt;=$E143, 500&lt;=$F143), ROUND(Cp_Database_200!$F143 + Cp_Database_200!$G143*0.5 + Cp_Database_200!$H143*0.25 + Cp_Database_200!$I143*0.125 + Cp_Database_200!$J143/0.25, 2), "-")</f>
        <v>29.77</v>
      </c>
      <c r="J143" s="16">
        <f>IF(AND(600&gt;=$E143, 600&lt;=$F143), ROUND(Cp_Database_200!$F143 + Cp_Database_200!$G143*0.6 + Cp_Database_200!$H143*0.36 + Cp_Database_200!$I143*0.216 + Cp_Database_200!$J143/0.36, 2), "-")</f>
        <v>30.39</v>
      </c>
      <c r="K143" s="16">
        <f>IF(AND(700&gt;=$E143, 700&lt;=$F143), ROUND(Cp_Database_200!$F143 + Cp_Database_200!$G143*0.7 + Cp_Database_200!$H143*0.49 + Cp_Database_200!$I143*0.343 + Cp_Database_200!$J143/0.49, 2), "-")</f>
        <v>31.07</v>
      </c>
      <c r="L143" s="16">
        <f>IF(AND(800&gt;=$E143, 800&lt;=$F143), ROUND(Cp_Database_200!$F143 + Cp_Database_200!$G143*0.8 + Cp_Database_200!$H143*0.64 + Cp_Database_200!$I143*0.512 + Cp_Database_200!$J143/0.64, 2), "-")</f>
        <v>31.77</v>
      </c>
      <c r="M143" s="16">
        <f>IF(AND(1000&gt;=$E143, 1000&lt;=$F143), ROUND(Cp_Database_200!$F143 + Cp_Database_200!$G143*1 + Cp_Database_200!$H143*1 + Cp_Database_200!$I143*1 + Cp_Database_200!$J143/1, 2), "-")</f>
        <v>33.11</v>
      </c>
      <c r="N143" s="16">
        <f>IF(AND(1200&gt;=$E143, 1200&lt;=$F143), ROUND(Cp_Database_200!$F143 + Cp_Database_200!$G143*1.2 + Cp_Database_200!$H143*1.44 + Cp_Database_200!$I143*1.728 + Cp_Database_200!$J143/1.44, 2), "-")</f>
        <v>34.24</v>
      </c>
      <c r="O143" s="16" t="str">
        <f>IF(AND(1500&gt;=$E143, 1500&lt;=$F143), ROUND(Cp_Database_200!$F143 + Cp_Database_200!$G143*1.5 + Cp_Database_200!$H143*2.25 + Cp_Database_200!$I143*3.375 + Cp_Database_200!$J143/2.25, 2), "-")</f>
        <v>-</v>
      </c>
      <c r="P143" s="16" t="str">
        <f>IF(AND(2000&gt;=$E143, 2000&lt;=$F143), ROUND(Cp_Database_200!$F143 + Cp_Database_200!$G143*2 + Cp_Database_200!$H143*4 + Cp_Database_200!$I143*8 + Cp_Database_200!$J143/4, 2), "-")</f>
        <v>-</v>
      </c>
    </row>
    <row r="144" spans="1:16" ht="15" x14ac:dyDescent="0.3">
      <c r="A144" s="2">
        <f>Cp_Database_200!A144</f>
        <v>143</v>
      </c>
      <c r="B144" s="3" t="str">
        <f>Cp_Database_200!B144</f>
        <v>Sulfur Hexafluoride</v>
      </c>
      <c r="C144" s="4" t="str">
        <f>Cp_Database_200!C144</f>
        <v>SF6</v>
      </c>
      <c r="D144" s="3" t="str">
        <f>Cp_Database_200!E144</f>
        <v>Technological Fluid &amp; Gas</v>
      </c>
      <c r="E144" s="6">
        <f>Cp_Database_200!K144</f>
        <v>298</v>
      </c>
      <c r="F144" s="6">
        <f>Cp_Database_200!L144</f>
        <v>1000</v>
      </c>
      <c r="G144" s="15">
        <f>IF(AND(298.15&gt;=$E144, 298.15&lt;=$F144), ROUND(Cp_Database_200!$F144 + Cp_Database_200!$G144*0.29815 + Cp_Database_200!$H144*0.08889342 + Cp_Database_200!$I144*0.02650357 + Cp_Database_200!$J144/0.08889342, 2), "-")</f>
        <v>96.92</v>
      </c>
      <c r="H144" s="15">
        <f>IF(AND(400&gt;=$E144, 400&lt;=$F144), ROUND(Cp_Database_200!$F144 + Cp_Database_200!$G144*0.4 + Cp_Database_200!$H144*0.16 + Cp_Database_200!$I144*0.064 + Cp_Database_200!$J144/0.16, 2), "-")</f>
        <v>116.38</v>
      </c>
      <c r="I144" s="15">
        <f>IF(AND(500&gt;=$E144, 500&lt;=$F144), ROUND(Cp_Database_200!$F144 + Cp_Database_200!$G144*0.5 + Cp_Database_200!$H144*0.25 + Cp_Database_200!$I144*0.125 + Cp_Database_200!$J144/0.25, 2), "-")</f>
        <v>128.26</v>
      </c>
      <c r="J144" s="15">
        <f>IF(AND(600&gt;=$E144, 600&lt;=$F144), ROUND(Cp_Database_200!$F144 + Cp_Database_200!$G144*0.6 + Cp_Database_200!$H144*0.36 + Cp_Database_200!$I144*0.216 + Cp_Database_200!$J144/0.36, 2), "-")</f>
        <v>136.11000000000001</v>
      </c>
      <c r="K144" s="15">
        <f>IF(AND(700&gt;=$E144, 700&lt;=$F144), ROUND(Cp_Database_200!$F144 + Cp_Database_200!$G144*0.7 + Cp_Database_200!$H144*0.49 + Cp_Database_200!$I144*0.343 + Cp_Database_200!$J144/0.49, 2), "-")</f>
        <v>141.33000000000001</v>
      </c>
      <c r="L144" s="15">
        <f>IF(AND(800&gt;=$E144, 800&lt;=$F144), ROUND(Cp_Database_200!$F144 + Cp_Database_200!$G144*0.8 + Cp_Database_200!$H144*0.64 + Cp_Database_200!$I144*0.512 + Cp_Database_200!$J144/0.64, 2), "-")</f>
        <v>144.81</v>
      </c>
      <c r="M144" s="15">
        <f>IF(AND(1000&gt;=$E144, 1000&lt;=$F144), ROUND(Cp_Database_200!$F144 + Cp_Database_200!$G144*1 + Cp_Database_200!$H144*1 + Cp_Database_200!$I144*1 + Cp_Database_200!$J144/1, 2), "-")</f>
        <v>149.32</v>
      </c>
      <c r="N144" s="15" t="str">
        <f>IF(AND(1200&gt;=$E144, 1200&lt;=$F144), ROUND(Cp_Database_200!$F144 + Cp_Database_200!$G144*1.2 + Cp_Database_200!$H144*1.44 + Cp_Database_200!$I144*1.728 + Cp_Database_200!$J144/1.44, 2), "-")</f>
        <v>-</v>
      </c>
      <c r="O144" s="15" t="str">
        <f>IF(AND(1500&gt;=$E144, 1500&lt;=$F144), ROUND(Cp_Database_200!$F144 + Cp_Database_200!$G144*1.5 + Cp_Database_200!$H144*2.25 + Cp_Database_200!$I144*3.375 + Cp_Database_200!$J144/2.25, 2), "-")</f>
        <v>-</v>
      </c>
      <c r="P144" s="15" t="str">
        <f>IF(AND(2000&gt;=$E144, 2000&lt;=$F144), ROUND(Cp_Database_200!$F144 + Cp_Database_200!$G144*2 + Cp_Database_200!$H144*4 + Cp_Database_200!$I144*8 + Cp_Database_200!$J144/4, 2), "-")</f>
        <v>-</v>
      </c>
    </row>
    <row r="145" spans="1:16" ht="15" x14ac:dyDescent="0.3">
      <c r="A145" s="8">
        <f>Cp_Database_200!A145</f>
        <v>144</v>
      </c>
      <c r="B145" s="9" t="str">
        <f>Cp_Database_200!B145</f>
        <v>Nitrogen Trifluoride</v>
      </c>
      <c r="C145" s="10" t="str">
        <f>Cp_Database_200!C145</f>
        <v>NF3</v>
      </c>
      <c r="D145" s="9" t="str">
        <f>Cp_Database_200!E145</f>
        <v>Technological Fluid &amp; Gas</v>
      </c>
      <c r="E145" s="12">
        <f>Cp_Database_200!K145</f>
        <v>298</v>
      </c>
      <c r="F145" s="12">
        <f>Cp_Database_200!L145</f>
        <v>1000</v>
      </c>
      <c r="G145" s="16">
        <f>IF(AND(298.15&gt;=$E145, 298.15&lt;=$F145), ROUND(Cp_Database_200!$F145 + Cp_Database_200!$G145*0.29815 + Cp_Database_200!$H145*0.08889342 + Cp_Database_200!$I145*0.02650357 + Cp_Database_200!$J145/0.08889342, 2), "-")</f>
        <v>53.35</v>
      </c>
      <c r="H145" s="16">
        <f>IF(AND(400&gt;=$E145, 400&lt;=$F145), ROUND(Cp_Database_200!$F145 + Cp_Database_200!$G145*0.4 + Cp_Database_200!$H145*0.16 + Cp_Database_200!$I145*0.064 + Cp_Database_200!$J145/0.16, 2), "-")</f>
        <v>61.87</v>
      </c>
      <c r="I145" s="16">
        <f>IF(AND(500&gt;=$E145, 500&lt;=$F145), ROUND(Cp_Database_200!$F145 + Cp_Database_200!$G145*0.5 + Cp_Database_200!$H145*0.25 + Cp_Database_200!$I145*0.125 + Cp_Database_200!$J145/0.25, 2), "-")</f>
        <v>67.53</v>
      </c>
      <c r="J145" s="16">
        <f>IF(AND(600&gt;=$E145, 600&lt;=$F145), ROUND(Cp_Database_200!$F145 + Cp_Database_200!$G145*0.6 + Cp_Database_200!$H145*0.36 + Cp_Database_200!$I145*0.216 + Cp_Database_200!$J145/0.36, 2), "-")</f>
        <v>71.45</v>
      </c>
      <c r="K145" s="16">
        <f>IF(AND(700&gt;=$E145, 700&lt;=$F145), ROUND(Cp_Database_200!$F145 + Cp_Database_200!$G145*0.7 + Cp_Database_200!$H145*0.49 + Cp_Database_200!$I145*0.343 + Cp_Database_200!$J145/0.49, 2), "-")</f>
        <v>74.14</v>
      </c>
      <c r="L145" s="16">
        <f>IF(AND(800&gt;=$E145, 800&lt;=$F145), ROUND(Cp_Database_200!$F145 + Cp_Database_200!$G145*0.8 + Cp_Database_200!$H145*0.64 + Cp_Database_200!$I145*0.512 + Cp_Database_200!$J145/0.64, 2), "-")</f>
        <v>75.97</v>
      </c>
      <c r="M145" s="16">
        <f>IF(AND(1000&gt;=$E145, 1000&lt;=$F145), ROUND(Cp_Database_200!$F145 + Cp_Database_200!$G145*1 + Cp_Database_200!$H145*1 + Cp_Database_200!$I145*1 + Cp_Database_200!$J145/1, 2), "-")</f>
        <v>78.38</v>
      </c>
      <c r="N145" s="16" t="str">
        <f>IF(AND(1200&gt;=$E145, 1200&lt;=$F145), ROUND(Cp_Database_200!$F145 + Cp_Database_200!$G145*1.2 + Cp_Database_200!$H145*1.44 + Cp_Database_200!$I145*1.728 + Cp_Database_200!$J145/1.44, 2), "-")</f>
        <v>-</v>
      </c>
      <c r="O145" s="16" t="str">
        <f>IF(AND(1500&gt;=$E145, 1500&lt;=$F145), ROUND(Cp_Database_200!$F145 + Cp_Database_200!$G145*1.5 + Cp_Database_200!$H145*2.25 + Cp_Database_200!$I145*3.375 + Cp_Database_200!$J145/2.25, 2), "-")</f>
        <v>-</v>
      </c>
      <c r="P145" s="16" t="str">
        <f>IF(AND(2000&gt;=$E145, 2000&lt;=$F145), ROUND(Cp_Database_200!$F145 + Cp_Database_200!$G145*2 + Cp_Database_200!$H145*4 + Cp_Database_200!$I145*8 + Cp_Database_200!$J145/4, 2), "-")</f>
        <v>-</v>
      </c>
    </row>
    <row r="146" spans="1:16" ht="15" x14ac:dyDescent="0.3">
      <c r="A146" s="2">
        <f>Cp_Database_200!A146</f>
        <v>145</v>
      </c>
      <c r="B146" s="3" t="str">
        <f>Cp_Database_200!B146</f>
        <v>Boron Trifluoride</v>
      </c>
      <c r="C146" s="4" t="str">
        <f>Cp_Database_200!C146</f>
        <v>BF3</v>
      </c>
      <c r="D146" s="3" t="str">
        <f>Cp_Database_200!E146</f>
        <v>Technological Fluid &amp; Gas</v>
      </c>
      <c r="E146" s="6">
        <f>Cp_Database_200!K146</f>
        <v>298</v>
      </c>
      <c r="F146" s="6">
        <f>Cp_Database_200!L146</f>
        <v>1000</v>
      </c>
      <c r="G146" s="15">
        <f>IF(AND(298.15&gt;=$E146, 298.15&lt;=$F146), ROUND(Cp_Database_200!$F146 + Cp_Database_200!$G146*0.29815 + Cp_Database_200!$H146*0.08889342 + Cp_Database_200!$I146*0.02650357 + Cp_Database_200!$J146/0.08889342, 2), "-")</f>
        <v>50.44</v>
      </c>
      <c r="H146" s="15">
        <f>IF(AND(400&gt;=$E146, 400&lt;=$F146), ROUND(Cp_Database_200!$F146 + Cp_Database_200!$G146*0.4 + Cp_Database_200!$H146*0.16 + Cp_Database_200!$I146*0.064 + Cp_Database_200!$J146/0.16, 2), "-")</f>
        <v>57.54</v>
      </c>
      <c r="I146" s="15">
        <f>IF(AND(500&gt;=$E146, 500&lt;=$F146), ROUND(Cp_Database_200!$F146 + Cp_Database_200!$G146*0.5 + Cp_Database_200!$H146*0.25 + Cp_Database_200!$I146*0.125 + Cp_Database_200!$J146/0.25, 2), "-")</f>
        <v>62.93</v>
      </c>
      <c r="J146" s="15">
        <f>IF(AND(600&gt;=$E146, 600&lt;=$F146), ROUND(Cp_Database_200!$F146 + Cp_Database_200!$G146*0.6 + Cp_Database_200!$H146*0.36 + Cp_Database_200!$I146*0.216 + Cp_Database_200!$J146/0.36, 2), "-")</f>
        <v>67.069999999999993</v>
      </c>
      <c r="K146" s="15">
        <f>IF(AND(700&gt;=$E146, 700&lt;=$F146), ROUND(Cp_Database_200!$F146 + Cp_Database_200!$G146*0.7 + Cp_Database_200!$H146*0.49 + Cp_Database_200!$I146*0.343 + Cp_Database_200!$J146/0.49, 2), "-")</f>
        <v>70.209999999999994</v>
      </c>
      <c r="L146" s="15">
        <f>IF(AND(800&gt;=$E146, 800&lt;=$F146), ROUND(Cp_Database_200!$F146 + Cp_Database_200!$G146*0.8 + Cp_Database_200!$H146*0.64 + Cp_Database_200!$I146*0.512 + Cp_Database_200!$J146/0.64, 2), "-")</f>
        <v>72.569999999999993</v>
      </c>
      <c r="M146" s="15">
        <f>IF(AND(1000&gt;=$E146, 1000&lt;=$F146), ROUND(Cp_Database_200!$F146 + Cp_Database_200!$G146*1 + Cp_Database_200!$H146*1 + Cp_Database_200!$I146*1 + Cp_Database_200!$J146/1, 2), "-")</f>
        <v>75.81</v>
      </c>
      <c r="N146" s="15" t="str">
        <f>IF(AND(1200&gt;=$E146, 1200&lt;=$F146), ROUND(Cp_Database_200!$F146 + Cp_Database_200!$G146*1.2 + Cp_Database_200!$H146*1.44 + Cp_Database_200!$I146*1.728 + Cp_Database_200!$J146/1.44, 2), "-")</f>
        <v>-</v>
      </c>
      <c r="O146" s="15" t="str">
        <f>IF(AND(1500&gt;=$E146, 1500&lt;=$F146), ROUND(Cp_Database_200!$F146 + Cp_Database_200!$G146*1.5 + Cp_Database_200!$H146*2.25 + Cp_Database_200!$I146*3.375 + Cp_Database_200!$J146/2.25, 2), "-")</f>
        <v>-</v>
      </c>
      <c r="P146" s="15" t="str">
        <f>IF(AND(2000&gt;=$E146, 2000&lt;=$F146), ROUND(Cp_Database_200!$F146 + Cp_Database_200!$G146*2 + Cp_Database_200!$H146*4 + Cp_Database_200!$I146*8 + Cp_Database_200!$J146/4, 2), "-")</f>
        <v>-</v>
      </c>
    </row>
    <row r="147" spans="1:16" ht="15" x14ac:dyDescent="0.3">
      <c r="A147" s="8">
        <f>Cp_Database_200!A147</f>
        <v>146</v>
      </c>
      <c r="B147" s="9" t="str">
        <f>Cp_Database_200!B147</f>
        <v>Boron Trichloride</v>
      </c>
      <c r="C147" s="10" t="str">
        <f>Cp_Database_200!C147</f>
        <v>BCl3</v>
      </c>
      <c r="D147" s="9" t="str">
        <f>Cp_Database_200!E147</f>
        <v>Technological Fluid &amp; Gas</v>
      </c>
      <c r="E147" s="12">
        <f>Cp_Database_200!K147</f>
        <v>298</v>
      </c>
      <c r="F147" s="12">
        <f>Cp_Database_200!L147</f>
        <v>700</v>
      </c>
      <c r="G147" s="16">
        <f>IF(AND(298.15&gt;=$E147, 298.15&lt;=$F147), ROUND(Cp_Database_200!$F147 + Cp_Database_200!$G147*0.29815 + Cp_Database_200!$H147*0.08889342 + Cp_Database_200!$I147*0.02650357 + Cp_Database_200!$J147/0.08889342, 2), "-")</f>
        <v>62.39</v>
      </c>
      <c r="H147" s="16">
        <f>IF(AND(400&gt;=$E147, 400&lt;=$F147), ROUND(Cp_Database_200!$F147 + Cp_Database_200!$G147*0.4 + Cp_Database_200!$H147*0.16 + Cp_Database_200!$I147*0.064 + Cp_Database_200!$J147/0.16, 2), "-")</f>
        <v>68.42</v>
      </c>
      <c r="I147" s="16">
        <f>IF(AND(500&gt;=$E147, 500&lt;=$F147), ROUND(Cp_Database_200!$F147 + Cp_Database_200!$G147*0.5 + Cp_Database_200!$H147*0.25 + Cp_Database_200!$I147*0.125 + Cp_Database_200!$J147/0.25, 2), "-")</f>
        <v>72.38</v>
      </c>
      <c r="J147" s="16">
        <f>IF(AND(600&gt;=$E147, 600&lt;=$F147), ROUND(Cp_Database_200!$F147 + Cp_Database_200!$G147*0.6 + Cp_Database_200!$H147*0.36 + Cp_Database_200!$I147*0.216 + Cp_Database_200!$J147/0.36, 2), "-")</f>
        <v>75.040000000000006</v>
      </c>
      <c r="K147" s="16">
        <f>IF(AND(700&gt;=$E147, 700&lt;=$F147), ROUND(Cp_Database_200!$F147 + Cp_Database_200!$G147*0.7 + Cp_Database_200!$H147*0.49 + Cp_Database_200!$I147*0.343 + Cp_Database_200!$J147/0.49, 2), "-")</f>
        <v>76.87</v>
      </c>
      <c r="L147" s="16" t="str">
        <f>IF(AND(800&gt;=$E147, 800&lt;=$F147), ROUND(Cp_Database_200!$F147 + Cp_Database_200!$G147*0.8 + Cp_Database_200!$H147*0.64 + Cp_Database_200!$I147*0.512 + Cp_Database_200!$J147/0.64, 2), "-")</f>
        <v>-</v>
      </c>
      <c r="M147" s="16" t="str">
        <f>IF(AND(1000&gt;=$E147, 1000&lt;=$F147), ROUND(Cp_Database_200!$F147 + Cp_Database_200!$G147*1 + Cp_Database_200!$H147*1 + Cp_Database_200!$I147*1 + Cp_Database_200!$J147/1, 2), "-")</f>
        <v>-</v>
      </c>
      <c r="N147" s="16" t="str">
        <f>IF(AND(1200&gt;=$E147, 1200&lt;=$F147), ROUND(Cp_Database_200!$F147 + Cp_Database_200!$G147*1.2 + Cp_Database_200!$H147*1.44 + Cp_Database_200!$I147*1.728 + Cp_Database_200!$J147/1.44, 2), "-")</f>
        <v>-</v>
      </c>
      <c r="O147" s="16" t="str">
        <f>IF(AND(1500&gt;=$E147, 1500&lt;=$F147), ROUND(Cp_Database_200!$F147 + Cp_Database_200!$G147*1.5 + Cp_Database_200!$H147*2.25 + Cp_Database_200!$I147*3.375 + Cp_Database_200!$J147/2.25, 2), "-")</f>
        <v>-</v>
      </c>
      <c r="P147" s="16" t="str">
        <f>IF(AND(2000&gt;=$E147, 2000&lt;=$F147), ROUND(Cp_Database_200!$F147 + Cp_Database_200!$G147*2 + Cp_Database_200!$H147*4 + Cp_Database_200!$I147*8 + Cp_Database_200!$J147/4, 2), "-")</f>
        <v>-</v>
      </c>
    </row>
    <row r="148" spans="1:16" ht="15" x14ac:dyDescent="0.3">
      <c r="A148" s="2">
        <f>Cp_Database_200!A148</f>
        <v>147</v>
      </c>
      <c r="B148" s="3" t="str">
        <f>Cp_Database_200!B148</f>
        <v>Silicon Tetrafluoride</v>
      </c>
      <c r="C148" s="4" t="str">
        <f>Cp_Database_200!C148</f>
        <v>SiF4</v>
      </c>
      <c r="D148" s="3" t="str">
        <f>Cp_Database_200!E148</f>
        <v>Technological Fluid &amp; Gas</v>
      </c>
      <c r="E148" s="6">
        <f>Cp_Database_200!K148</f>
        <v>298</v>
      </c>
      <c r="F148" s="6">
        <f>Cp_Database_200!L148</f>
        <v>1000</v>
      </c>
      <c r="G148" s="15">
        <f>IF(AND(298.15&gt;=$E148, 298.15&lt;=$F148), ROUND(Cp_Database_200!$F148 + Cp_Database_200!$G148*0.29815 + Cp_Database_200!$H148*0.08889342 + Cp_Database_200!$I148*0.02650357 + Cp_Database_200!$J148/0.08889342, 2), "-")</f>
        <v>73.599999999999994</v>
      </c>
      <c r="H148" s="15">
        <f>IF(AND(400&gt;=$E148, 400&lt;=$F148), ROUND(Cp_Database_200!$F148 + Cp_Database_200!$G148*0.4 + Cp_Database_200!$H148*0.16 + Cp_Database_200!$I148*0.064 + Cp_Database_200!$J148/0.16, 2), "-")</f>
        <v>83.15</v>
      </c>
      <c r="I148" s="15">
        <f>IF(AND(500&gt;=$E148, 500&lt;=$F148), ROUND(Cp_Database_200!$F148 + Cp_Database_200!$G148*0.5 + Cp_Database_200!$H148*0.25 + Cp_Database_200!$I148*0.125 + Cp_Database_200!$J148/0.25, 2), "-")</f>
        <v>89.58</v>
      </c>
      <c r="J148" s="15">
        <f>IF(AND(600&gt;=$E148, 600&lt;=$F148), ROUND(Cp_Database_200!$F148 + Cp_Database_200!$G148*0.6 + Cp_Database_200!$H148*0.36 + Cp_Database_200!$I148*0.216 + Cp_Database_200!$J148/0.36, 2), "-")</f>
        <v>94.11</v>
      </c>
      <c r="K148" s="15">
        <f>IF(AND(700&gt;=$E148, 700&lt;=$F148), ROUND(Cp_Database_200!$F148 + Cp_Database_200!$G148*0.7 + Cp_Database_200!$H148*0.49 + Cp_Database_200!$I148*0.343 + Cp_Database_200!$J148/0.49, 2), "-")</f>
        <v>97.25</v>
      </c>
      <c r="L148" s="15">
        <f>IF(AND(800&gt;=$E148, 800&lt;=$F148), ROUND(Cp_Database_200!$F148 + Cp_Database_200!$G148*0.8 + Cp_Database_200!$H148*0.64 + Cp_Database_200!$I148*0.512 + Cp_Database_200!$J148/0.64, 2), "-")</f>
        <v>99.44</v>
      </c>
      <c r="M148" s="15">
        <f>IF(AND(1000&gt;=$E148, 1000&lt;=$F148), ROUND(Cp_Database_200!$F148 + Cp_Database_200!$G148*1 + Cp_Database_200!$H148*1 + Cp_Database_200!$I148*1 + Cp_Database_200!$J148/1, 2), "-")</f>
        <v>102.31</v>
      </c>
      <c r="N148" s="15" t="str">
        <f>IF(AND(1200&gt;=$E148, 1200&lt;=$F148), ROUND(Cp_Database_200!$F148 + Cp_Database_200!$G148*1.2 + Cp_Database_200!$H148*1.44 + Cp_Database_200!$I148*1.728 + Cp_Database_200!$J148/1.44, 2), "-")</f>
        <v>-</v>
      </c>
      <c r="O148" s="15" t="str">
        <f>IF(AND(1500&gt;=$E148, 1500&lt;=$F148), ROUND(Cp_Database_200!$F148 + Cp_Database_200!$G148*1.5 + Cp_Database_200!$H148*2.25 + Cp_Database_200!$I148*3.375 + Cp_Database_200!$J148/2.25, 2), "-")</f>
        <v>-</v>
      </c>
      <c r="P148" s="15" t="str">
        <f>IF(AND(2000&gt;=$E148, 2000&lt;=$F148), ROUND(Cp_Database_200!$F148 + Cp_Database_200!$G148*2 + Cp_Database_200!$H148*4 + Cp_Database_200!$I148*8 + Cp_Database_200!$J148/4, 2), "-")</f>
        <v>-</v>
      </c>
    </row>
    <row r="149" spans="1:16" ht="15" x14ac:dyDescent="0.3">
      <c r="A149" s="8">
        <f>Cp_Database_200!A149</f>
        <v>148</v>
      </c>
      <c r="B149" s="9" t="str">
        <f>Cp_Database_200!B149</f>
        <v>Silicon Tetrachloride</v>
      </c>
      <c r="C149" s="10" t="str">
        <f>Cp_Database_200!C149</f>
        <v>SiCl4</v>
      </c>
      <c r="D149" s="9" t="str">
        <f>Cp_Database_200!E149</f>
        <v>Technological Fluid &amp; Gas</v>
      </c>
      <c r="E149" s="12">
        <f>Cp_Database_200!K149</f>
        <v>298</v>
      </c>
      <c r="F149" s="12">
        <f>Cp_Database_200!L149</f>
        <v>6000</v>
      </c>
      <c r="G149" s="16">
        <f>IF(AND(298.15&gt;=$E149, 298.15&lt;=$F149), ROUND(Cp_Database_200!$F149 + Cp_Database_200!$G149*0.29815 + Cp_Database_200!$H149*0.08889342 + Cp_Database_200!$I149*0.02650357 + Cp_Database_200!$J149/0.08889342, 2), "-")</f>
        <v>89.86</v>
      </c>
      <c r="H149" s="16">
        <f>IF(AND(400&gt;=$E149, 400&lt;=$F149), ROUND(Cp_Database_200!$F149 + Cp_Database_200!$G149*0.4 + Cp_Database_200!$H149*0.16 + Cp_Database_200!$I149*0.064 + Cp_Database_200!$J149/0.16, 2), "-")</f>
        <v>97.29</v>
      </c>
      <c r="I149" s="16">
        <f>IF(AND(500&gt;=$E149, 500&lt;=$F149), ROUND(Cp_Database_200!$F149 + Cp_Database_200!$G149*0.5 + Cp_Database_200!$H149*0.25 + Cp_Database_200!$I149*0.125 + Cp_Database_200!$J149/0.25, 2), "-")</f>
        <v>100.71</v>
      </c>
      <c r="J149" s="16">
        <f>IF(AND(600&gt;=$E149, 600&lt;=$F149), ROUND(Cp_Database_200!$F149 + Cp_Database_200!$G149*0.6 + Cp_Database_200!$H149*0.36 + Cp_Database_200!$I149*0.216 + Cp_Database_200!$J149/0.36, 2), "-")</f>
        <v>102.64</v>
      </c>
      <c r="K149" s="16">
        <f>IF(AND(700&gt;=$E149, 700&lt;=$F149), ROUND(Cp_Database_200!$F149 + Cp_Database_200!$G149*0.7 + Cp_Database_200!$H149*0.49 + Cp_Database_200!$I149*0.343 + Cp_Database_200!$J149/0.49, 2), "-")</f>
        <v>103.85</v>
      </c>
      <c r="L149" s="16">
        <f>IF(AND(800&gt;=$E149, 800&lt;=$F149), ROUND(Cp_Database_200!$F149 + Cp_Database_200!$G149*0.8 + Cp_Database_200!$H149*0.64 + Cp_Database_200!$I149*0.512 + Cp_Database_200!$J149/0.64, 2), "-")</f>
        <v>104.68</v>
      </c>
      <c r="M149" s="16">
        <f>IF(AND(1000&gt;=$E149, 1000&lt;=$F149), ROUND(Cp_Database_200!$F149 + Cp_Database_200!$G149*1 + Cp_Database_200!$H149*1 + Cp_Database_200!$I149*1 + Cp_Database_200!$J149/1, 2), "-")</f>
        <v>105.73</v>
      </c>
      <c r="N149" s="16">
        <f>IF(AND(1200&gt;=$E149, 1200&lt;=$F149), ROUND(Cp_Database_200!$F149 + Cp_Database_200!$G149*1.2 + Cp_Database_200!$H149*1.44 + Cp_Database_200!$I149*1.728 + Cp_Database_200!$J149/1.44, 2), "-")</f>
        <v>106.39</v>
      </c>
      <c r="O149" s="16">
        <f>IF(AND(1500&gt;=$E149, 1500&lt;=$F149), ROUND(Cp_Database_200!$F149 + Cp_Database_200!$G149*1.5 + Cp_Database_200!$H149*2.25 + Cp_Database_200!$I149*3.375 + Cp_Database_200!$J149/2.25, 2), "-")</f>
        <v>107</v>
      </c>
      <c r="P149" s="16">
        <f>IF(AND(2000&gt;=$E149, 2000&lt;=$F149), ROUND(Cp_Database_200!$F149 + Cp_Database_200!$G149*2 + Cp_Database_200!$H149*4 + Cp_Database_200!$I149*8 + Cp_Database_200!$J149/4, 2), "-")</f>
        <v>107.57</v>
      </c>
    </row>
    <row r="150" spans="1:16" ht="15" x14ac:dyDescent="0.3">
      <c r="A150" s="2">
        <f>Cp_Database_200!A150</f>
        <v>149</v>
      </c>
      <c r="B150" s="3" t="str">
        <f>Cp_Database_200!B150</f>
        <v>Titanium Tetrachloride</v>
      </c>
      <c r="C150" s="4" t="str">
        <f>Cp_Database_200!C150</f>
        <v>TiCl4</v>
      </c>
      <c r="D150" s="3" t="str">
        <f>Cp_Database_200!E150</f>
        <v>Technological Fluid &amp; Gas</v>
      </c>
      <c r="E150" s="6">
        <f>Cp_Database_200!K150</f>
        <v>298</v>
      </c>
      <c r="F150" s="6">
        <f>Cp_Database_200!L150</f>
        <v>1000</v>
      </c>
      <c r="G150" s="15">
        <f>IF(AND(298.15&gt;=$E150, 298.15&lt;=$F150), ROUND(Cp_Database_200!$F150 + Cp_Database_200!$G150*0.29815 + Cp_Database_200!$H150*0.08889342 + Cp_Database_200!$I150*0.02650357 + Cp_Database_200!$J150/0.08889342, 2), "-")</f>
        <v>145.19999999999999</v>
      </c>
      <c r="H150" s="15">
        <f>IF(AND(400&gt;=$E150, 400&lt;=$F150), ROUND(Cp_Database_200!$F150 + Cp_Database_200!$G150*0.4 + Cp_Database_200!$H150*0.16 + Cp_Database_200!$I150*0.064 + Cp_Database_200!$J150/0.16, 2), "-")</f>
        <v>146.16999999999999</v>
      </c>
      <c r="I150" s="15">
        <f>IF(AND(500&gt;=$E150, 500&lt;=$F150), ROUND(Cp_Database_200!$F150 + Cp_Database_200!$G150*0.5 + Cp_Database_200!$H150*0.25 + Cp_Database_200!$I150*0.125 + Cp_Database_200!$J150/0.25, 2), "-")</f>
        <v>147.08000000000001</v>
      </c>
      <c r="J150" s="15">
        <f>IF(AND(600&gt;=$E150, 600&lt;=$F150), ROUND(Cp_Database_200!$F150 + Cp_Database_200!$G150*0.6 + Cp_Database_200!$H150*0.36 + Cp_Database_200!$I150*0.216 + Cp_Database_200!$J150/0.36, 2), "-")</f>
        <v>147.99</v>
      </c>
      <c r="K150" s="15">
        <f>IF(AND(700&gt;=$E150, 700&lt;=$F150), ROUND(Cp_Database_200!$F150 + Cp_Database_200!$G150*0.7 + Cp_Database_200!$H150*0.49 + Cp_Database_200!$I150*0.343 + Cp_Database_200!$J150/0.49, 2), "-")</f>
        <v>148.88999999999999</v>
      </c>
      <c r="L150" s="15">
        <f>IF(AND(800&gt;=$E150, 800&lt;=$F150), ROUND(Cp_Database_200!$F150 + Cp_Database_200!$G150*0.8 + Cp_Database_200!$H150*0.64 + Cp_Database_200!$I150*0.512 + Cp_Database_200!$J150/0.64, 2), "-")</f>
        <v>149.80000000000001</v>
      </c>
      <c r="M150" s="15">
        <f>IF(AND(1000&gt;=$E150, 1000&lt;=$F150), ROUND(Cp_Database_200!$F150 + Cp_Database_200!$G150*1 + Cp_Database_200!$H150*1 + Cp_Database_200!$I150*1 + Cp_Database_200!$J150/1, 2), "-")</f>
        <v>151.62</v>
      </c>
      <c r="N150" s="15" t="str">
        <f>IF(AND(1200&gt;=$E150, 1200&lt;=$F150), ROUND(Cp_Database_200!$F150 + Cp_Database_200!$G150*1.2 + Cp_Database_200!$H150*1.44 + Cp_Database_200!$I150*1.728 + Cp_Database_200!$J150/1.44, 2), "-")</f>
        <v>-</v>
      </c>
      <c r="O150" s="15" t="str">
        <f>IF(AND(1500&gt;=$E150, 1500&lt;=$F150), ROUND(Cp_Database_200!$F150 + Cp_Database_200!$G150*1.5 + Cp_Database_200!$H150*2.25 + Cp_Database_200!$I150*3.375 + Cp_Database_200!$J150/2.25, 2), "-")</f>
        <v>-</v>
      </c>
      <c r="P150" s="15" t="str">
        <f>IF(AND(2000&gt;=$E150, 2000&lt;=$F150), ROUND(Cp_Database_200!$F150 + Cp_Database_200!$G150*2 + Cp_Database_200!$H150*4 + Cp_Database_200!$I150*8 + Cp_Database_200!$J150/4, 2), "-")</f>
        <v>-</v>
      </c>
    </row>
    <row r="151" spans="1:16" ht="15" x14ac:dyDescent="0.3">
      <c r="A151" s="8">
        <f>Cp_Database_200!A151</f>
        <v>150</v>
      </c>
      <c r="B151" s="9" t="str">
        <f>Cp_Database_200!B151</f>
        <v>Nitrous Oxide</v>
      </c>
      <c r="C151" s="10" t="str">
        <f>Cp_Database_200!C151</f>
        <v>N2O</v>
      </c>
      <c r="D151" s="9" t="str">
        <f>Cp_Database_200!E151</f>
        <v>Technological Fluid &amp; Gas</v>
      </c>
      <c r="E151" s="12">
        <f>Cp_Database_200!K151</f>
        <v>298</v>
      </c>
      <c r="F151" s="12">
        <f>Cp_Database_200!L151</f>
        <v>1400</v>
      </c>
      <c r="G151" s="16">
        <f>IF(AND(298.15&gt;=$E151, 298.15&lt;=$F151), ROUND(Cp_Database_200!$F151 + Cp_Database_200!$G151*0.29815 + Cp_Database_200!$H151*0.08889342 + Cp_Database_200!$I151*0.02650357 + Cp_Database_200!$J151/0.08889342, 2), "-")</f>
        <v>38.61</v>
      </c>
      <c r="H151" s="16">
        <f>IF(AND(400&gt;=$E151, 400&lt;=$F151), ROUND(Cp_Database_200!$F151 + Cp_Database_200!$G151*0.4 + Cp_Database_200!$H151*0.16 + Cp_Database_200!$I151*0.064 + Cp_Database_200!$J151/0.16, 2), "-")</f>
        <v>42.69</v>
      </c>
      <c r="I151" s="16">
        <f>IF(AND(500&gt;=$E151, 500&lt;=$F151), ROUND(Cp_Database_200!$F151 + Cp_Database_200!$G151*0.5 + Cp_Database_200!$H151*0.25 + Cp_Database_200!$I151*0.125 + Cp_Database_200!$J151/0.25, 2), "-")</f>
        <v>45.82</v>
      </c>
      <c r="J151" s="16">
        <f>IF(AND(600&gt;=$E151, 600&lt;=$F151), ROUND(Cp_Database_200!$F151 + Cp_Database_200!$G151*0.6 + Cp_Database_200!$H151*0.36 + Cp_Database_200!$I151*0.216 + Cp_Database_200!$J151/0.36, 2), "-")</f>
        <v>48.38</v>
      </c>
      <c r="K151" s="16">
        <f>IF(AND(700&gt;=$E151, 700&lt;=$F151), ROUND(Cp_Database_200!$F151 + Cp_Database_200!$G151*0.7 + Cp_Database_200!$H151*0.49 + Cp_Database_200!$I151*0.343 + Cp_Database_200!$J151/0.49, 2), "-")</f>
        <v>50.49</v>
      </c>
      <c r="L151" s="16">
        <f>IF(AND(800&gt;=$E151, 800&lt;=$F151), ROUND(Cp_Database_200!$F151 + Cp_Database_200!$G151*0.8 + Cp_Database_200!$H151*0.64 + Cp_Database_200!$I151*0.512 + Cp_Database_200!$J151/0.64, 2), "-")</f>
        <v>52.25</v>
      </c>
      <c r="M151" s="16">
        <f>IF(AND(1000&gt;=$E151, 1000&lt;=$F151), ROUND(Cp_Database_200!$F151 + Cp_Database_200!$G151*1 + Cp_Database_200!$H151*1 + Cp_Database_200!$I151*1 + Cp_Database_200!$J151/1, 2), "-")</f>
        <v>54.87</v>
      </c>
      <c r="N151" s="16">
        <f>IF(AND(1200&gt;=$E151, 1200&lt;=$F151), ROUND(Cp_Database_200!$F151 + Cp_Database_200!$G151*1.2 + Cp_Database_200!$H151*1.44 + Cp_Database_200!$I151*1.728 + Cp_Database_200!$J151/1.44, 2), "-")</f>
        <v>56.65</v>
      </c>
      <c r="O151" s="16" t="str">
        <f>IF(AND(1500&gt;=$E151, 1500&lt;=$F151), ROUND(Cp_Database_200!$F151 + Cp_Database_200!$G151*1.5 + Cp_Database_200!$H151*2.25 + Cp_Database_200!$I151*3.375 + Cp_Database_200!$J151/2.25, 2), "-")</f>
        <v>-</v>
      </c>
      <c r="P151" s="16" t="str">
        <f>IF(AND(2000&gt;=$E151, 2000&lt;=$F151), ROUND(Cp_Database_200!$F151 + Cp_Database_200!$G151*2 + Cp_Database_200!$H151*4 + Cp_Database_200!$I151*8 + Cp_Database_200!$J151/4, 2), "-")</f>
        <v>-</v>
      </c>
    </row>
    <row r="152" spans="1:16" ht="15" x14ac:dyDescent="0.3">
      <c r="A152" s="2">
        <f>Cp_Database_200!A152</f>
        <v>151</v>
      </c>
      <c r="B152" s="3" t="str">
        <f>Cp_Database_200!B152</f>
        <v>Dinitrogen Tetroxide</v>
      </c>
      <c r="C152" s="4" t="str">
        <f>Cp_Database_200!C152</f>
        <v>N2O4</v>
      </c>
      <c r="D152" s="3" t="str">
        <f>Cp_Database_200!E152</f>
        <v>Technological Fluid &amp; Gas</v>
      </c>
      <c r="E152" s="6">
        <f>Cp_Database_200!K152</f>
        <v>298</v>
      </c>
      <c r="F152" s="6">
        <f>Cp_Database_200!L152</f>
        <v>500</v>
      </c>
      <c r="G152" s="15">
        <f>IF(AND(298.15&gt;=$E152, 298.15&lt;=$F152), ROUND(Cp_Database_200!$F152 + Cp_Database_200!$G152*0.29815 + Cp_Database_200!$H152*0.08889342 + Cp_Database_200!$I152*0.02650357 + Cp_Database_200!$J152/0.08889342, 2), "-")</f>
        <v>142.51</v>
      </c>
      <c r="H152" s="15">
        <f>IF(AND(400&gt;=$E152, 400&lt;=$F152), ROUND(Cp_Database_200!$F152 + Cp_Database_200!$G152*0.4 + Cp_Database_200!$H152*0.16 + Cp_Database_200!$I152*0.064 + Cp_Database_200!$J152/0.16, 2), "-")</f>
        <v>160.83000000000001</v>
      </c>
      <c r="I152" s="15">
        <f>IF(AND(500&gt;=$E152, 500&lt;=$F152), ROUND(Cp_Database_200!$F152 + Cp_Database_200!$G152*0.5 + Cp_Database_200!$H152*0.25 + Cp_Database_200!$I152*0.125 + Cp_Database_200!$J152/0.25, 2), "-")</f>
        <v>178.82</v>
      </c>
      <c r="J152" s="15" t="str">
        <f>IF(AND(600&gt;=$E152, 600&lt;=$F152), ROUND(Cp_Database_200!$F152 + Cp_Database_200!$G152*0.6 + Cp_Database_200!$H152*0.36 + Cp_Database_200!$I152*0.216 + Cp_Database_200!$J152/0.36, 2), "-")</f>
        <v>-</v>
      </c>
      <c r="K152" s="15" t="str">
        <f>IF(AND(700&gt;=$E152, 700&lt;=$F152), ROUND(Cp_Database_200!$F152 + Cp_Database_200!$G152*0.7 + Cp_Database_200!$H152*0.49 + Cp_Database_200!$I152*0.343 + Cp_Database_200!$J152/0.49, 2), "-")</f>
        <v>-</v>
      </c>
      <c r="L152" s="15" t="str">
        <f>IF(AND(800&gt;=$E152, 800&lt;=$F152), ROUND(Cp_Database_200!$F152 + Cp_Database_200!$G152*0.8 + Cp_Database_200!$H152*0.64 + Cp_Database_200!$I152*0.512 + Cp_Database_200!$J152/0.64, 2), "-")</f>
        <v>-</v>
      </c>
      <c r="M152" s="15" t="str">
        <f>IF(AND(1000&gt;=$E152, 1000&lt;=$F152), ROUND(Cp_Database_200!$F152 + Cp_Database_200!$G152*1 + Cp_Database_200!$H152*1 + Cp_Database_200!$I152*1 + Cp_Database_200!$J152/1, 2), "-")</f>
        <v>-</v>
      </c>
      <c r="N152" s="15" t="str">
        <f>IF(AND(1200&gt;=$E152, 1200&lt;=$F152), ROUND(Cp_Database_200!$F152 + Cp_Database_200!$G152*1.2 + Cp_Database_200!$H152*1.44 + Cp_Database_200!$I152*1.728 + Cp_Database_200!$J152/1.44, 2), "-")</f>
        <v>-</v>
      </c>
      <c r="O152" s="15" t="str">
        <f>IF(AND(1500&gt;=$E152, 1500&lt;=$F152), ROUND(Cp_Database_200!$F152 + Cp_Database_200!$G152*1.5 + Cp_Database_200!$H152*2.25 + Cp_Database_200!$I152*3.375 + Cp_Database_200!$J152/2.25, 2), "-")</f>
        <v>-</v>
      </c>
      <c r="P152" s="15" t="str">
        <f>IF(AND(2000&gt;=$E152, 2000&lt;=$F152), ROUND(Cp_Database_200!$F152 + Cp_Database_200!$G152*2 + Cp_Database_200!$H152*4 + Cp_Database_200!$I152*8 + Cp_Database_200!$J152/4, 2), "-")</f>
        <v>-</v>
      </c>
    </row>
    <row r="153" spans="1:16" ht="15" x14ac:dyDescent="0.3">
      <c r="A153" s="8">
        <f>Cp_Database_200!A153</f>
        <v>152</v>
      </c>
      <c r="B153" s="9" t="str">
        <f>Cp_Database_200!B153</f>
        <v>Dinitrogen Pentoxide</v>
      </c>
      <c r="C153" s="10" t="str">
        <f>Cp_Database_200!C153</f>
        <v>N2O5</v>
      </c>
      <c r="D153" s="9" t="str">
        <f>Cp_Database_200!E153</f>
        <v>Technological Fluid &amp; Gas</v>
      </c>
      <c r="E153" s="12">
        <f>Cp_Database_200!K153</f>
        <v>298</v>
      </c>
      <c r="F153" s="12">
        <f>Cp_Database_200!L153</f>
        <v>800</v>
      </c>
      <c r="G153" s="16">
        <f>IF(AND(298.15&gt;=$E153, 298.15&lt;=$F153), ROUND(Cp_Database_200!$F153 + Cp_Database_200!$G153*0.29815 + Cp_Database_200!$H153*0.08889342 + Cp_Database_200!$I153*0.02650357 + Cp_Database_200!$J153/0.08889342, 2), "-")</f>
        <v>96.3</v>
      </c>
      <c r="H153" s="16">
        <f>IF(AND(400&gt;=$E153, 400&lt;=$F153), ROUND(Cp_Database_200!$F153 + Cp_Database_200!$G153*0.4 + Cp_Database_200!$H153*0.16 + Cp_Database_200!$I153*0.064 + Cp_Database_200!$J153/0.16, 2), "-")</f>
        <v>110.86</v>
      </c>
      <c r="I153" s="16">
        <f>IF(AND(500&gt;=$E153, 500&lt;=$F153), ROUND(Cp_Database_200!$F153 + Cp_Database_200!$G153*0.5 + Cp_Database_200!$H153*0.25 + Cp_Database_200!$I153*0.125 + Cp_Database_200!$J153/0.25, 2), "-")</f>
        <v>121.17</v>
      </c>
      <c r="J153" s="16">
        <f>IF(AND(600&gt;=$E153, 600&lt;=$F153), ROUND(Cp_Database_200!$F153 + Cp_Database_200!$G153*0.6 + Cp_Database_200!$H153*0.36 + Cp_Database_200!$I153*0.216 + Cp_Database_200!$J153/0.36, 2), "-")</f>
        <v>128.41</v>
      </c>
      <c r="K153" s="16">
        <f>IF(AND(700&gt;=$E153, 700&lt;=$F153), ROUND(Cp_Database_200!$F153 + Cp_Database_200!$G153*0.7 + Cp_Database_200!$H153*0.49 + Cp_Database_200!$I153*0.343 + Cp_Database_200!$J153/0.49, 2), "-")</f>
        <v>133.41999999999999</v>
      </c>
      <c r="L153" s="16">
        <f>IF(AND(800&gt;=$E153, 800&lt;=$F153), ROUND(Cp_Database_200!$F153 + Cp_Database_200!$G153*0.8 + Cp_Database_200!$H153*0.64 + Cp_Database_200!$I153*0.512 + Cp_Database_200!$J153/0.64, 2), "-")</f>
        <v>137.01</v>
      </c>
      <c r="M153" s="16" t="str">
        <f>IF(AND(1000&gt;=$E153, 1000&lt;=$F153), ROUND(Cp_Database_200!$F153 + Cp_Database_200!$G153*1 + Cp_Database_200!$H153*1 + Cp_Database_200!$I153*1 + Cp_Database_200!$J153/1, 2), "-")</f>
        <v>-</v>
      </c>
      <c r="N153" s="16" t="str">
        <f>IF(AND(1200&gt;=$E153, 1200&lt;=$F153), ROUND(Cp_Database_200!$F153 + Cp_Database_200!$G153*1.2 + Cp_Database_200!$H153*1.44 + Cp_Database_200!$I153*1.728 + Cp_Database_200!$J153/1.44, 2), "-")</f>
        <v>-</v>
      </c>
      <c r="O153" s="16" t="str">
        <f>IF(AND(1500&gt;=$E153, 1500&lt;=$F153), ROUND(Cp_Database_200!$F153 + Cp_Database_200!$G153*1.5 + Cp_Database_200!$H153*2.25 + Cp_Database_200!$I153*3.375 + Cp_Database_200!$J153/2.25, 2), "-")</f>
        <v>-</v>
      </c>
      <c r="P153" s="16" t="str">
        <f>IF(AND(2000&gt;=$E153, 2000&lt;=$F153), ROUND(Cp_Database_200!$F153 + Cp_Database_200!$G153*2 + Cp_Database_200!$H153*4 + Cp_Database_200!$I153*8 + Cp_Database_200!$J153/4, 2), "-")</f>
        <v>-</v>
      </c>
    </row>
    <row r="154" spans="1:16" ht="15" x14ac:dyDescent="0.3">
      <c r="A154" s="2">
        <f>Cp_Database_200!A154</f>
        <v>153</v>
      </c>
      <c r="B154" s="3" t="str">
        <f>Cp_Database_200!B154</f>
        <v>Iron(II) Sulfate</v>
      </c>
      <c r="C154" s="4" t="str">
        <f>Cp_Database_200!C154</f>
        <v>FeSO4</v>
      </c>
      <c r="D154" s="3" t="str">
        <f>Cp_Database_200!E154</f>
        <v>Sulfate</v>
      </c>
      <c r="E154" s="6">
        <f>Cp_Database_200!K154</f>
        <v>298</v>
      </c>
      <c r="F154" s="6">
        <f>Cp_Database_200!L154</f>
        <v>1200</v>
      </c>
      <c r="G154" s="15">
        <f>IF(AND(298.15&gt;=$E154, 298.15&lt;=$F154), ROUND(Cp_Database_200!$F154 + Cp_Database_200!$G154*0.29815 + Cp_Database_200!$H154*0.08889342 + Cp_Database_200!$I154*0.02650357 + Cp_Database_200!$J154/0.08889342, 2), "-")</f>
        <v>100.61</v>
      </c>
      <c r="H154" s="15">
        <f>IF(AND(400&gt;=$E154, 400&lt;=$F154), ROUND(Cp_Database_200!$F154 + Cp_Database_200!$G154*0.4 + Cp_Database_200!$H154*0.16 + Cp_Database_200!$I154*0.064 + Cp_Database_200!$J154/0.16, 2), "-")</f>
        <v>116.75</v>
      </c>
      <c r="I154" s="15">
        <f>IF(AND(500&gt;=$E154, 500&lt;=$F154), ROUND(Cp_Database_200!$F154 + Cp_Database_200!$G154*0.5 + Cp_Database_200!$H154*0.25 + Cp_Database_200!$I154*0.125 + Cp_Database_200!$J154/0.25, 2), "-")</f>
        <v>128.84</v>
      </c>
      <c r="J154" s="15">
        <f>IF(AND(600&gt;=$E154, 600&lt;=$F154), ROUND(Cp_Database_200!$F154 + Cp_Database_200!$G154*0.6 + Cp_Database_200!$H154*0.36 + Cp_Database_200!$I154*0.216 + Cp_Database_200!$J154/0.36, 2), "-")</f>
        <v>137.94999999999999</v>
      </c>
      <c r="K154" s="15">
        <f>IF(AND(700&gt;=$E154, 700&lt;=$F154), ROUND(Cp_Database_200!$F154 + Cp_Database_200!$G154*0.7 + Cp_Database_200!$H154*0.49 + Cp_Database_200!$I154*0.343 + Cp_Database_200!$J154/0.49, 2), "-")</f>
        <v>144.63999999999999</v>
      </c>
      <c r="L154" s="15">
        <f>IF(AND(800&gt;=$E154, 800&lt;=$F154), ROUND(Cp_Database_200!$F154 + Cp_Database_200!$G154*0.8 + Cp_Database_200!$H154*0.64 + Cp_Database_200!$I154*0.512 + Cp_Database_200!$J154/0.64, 2), "-")</f>
        <v>149.44999999999999</v>
      </c>
      <c r="M154" s="15">
        <f>IF(AND(1000&gt;=$E154, 1000&lt;=$F154), ROUND(Cp_Database_200!$F154 + Cp_Database_200!$G154*1 + Cp_Database_200!$H154*1 + Cp_Database_200!$I154*1 + Cp_Database_200!$J154/1, 2), "-")</f>
        <v>155.44</v>
      </c>
      <c r="N154" s="15">
        <f>IF(AND(1200&gt;=$E154, 1200&lt;=$F154), ROUND(Cp_Database_200!$F154 + Cp_Database_200!$G154*1.2 + Cp_Database_200!$H154*1.44 + Cp_Database_200!$I154*1.728 + Cp_Database_200!$J154/1.44, 2), "-")</f>
        <v>159.91</v>
      </c>
      <c r="O154" s="15" t="str">
        <f>IF(AND(1500&gt;=$E154, 1500&lt;=$F154), ROUND(Cp_Database_200!$F154 + Cp_Database_200!$G154*1.5 + Cp_Database_200!$H154*2.25 + Cp_Database_200!$I154*3.375 + Cp_Database_200!$J154/2.25, 2), "-")</f>
        <v>-</v>
      </c>
      <c r="P154" s="15" t="str">
        <f>IF(AND(2000&gt;=$E154, 2000&lt;=$F154), ROUND(Cp_Database_200!$F154 + Cp_Database_200!$G154*2 + Cp_Database_200!$H154*4 + Cp_Database_200!$I154*8 + Cp_Database_200!$J154/4, 2), "-")</f>
        <v>-</v>
      </c>
    </row>
    <row r="155" spans="1:16" ht="15" x14ac:dyDescent="0.3">
      <c r="A155" s="8">
        <f>Cp_Database_200!A155</f>
        <v>154</v>
      </c>
      <c r="B155" s="9" t="str">
        <f>Cp_Database_200!B155</f>
        <v>Copper(II) Sulfate</v>
      </c>
      <c r="C155" s="10" t="str">
        <f>Cp_Database_200!C155</f>
        <v>CuSO4</v>
      </c>
      <c r="D155" s="9" t="str">
        <f>Cp_Database_200!E155</f>
        <v>Sulfate</v>
      </c>
      <c r="E155" s="12">
        <f>Cp_Database_200!K155</f>
        <v>298</v>
      </c>
      <c r="F155" s="12">
        <f>Cp_Database_200!L155</f>
        <v>2000</v>
      </c>
      <c r="G155" s="16">
        <f>IF(AND(298.15&gt;=$E155, 298.15&lt;=$F155), ROUND(Cp_Database_200!$F155 + Cp_Database_200!$G155*0.29815 + Cp_Database_200!$H155*0.08889342 + Cp_Database_200!$I155*0.02650357 + Cp_Database_200!$J155/0.08889342, 2), "-")</f>
        <v>98.53</v>
      </c>
      <c r="H155" s="16">
        <f>IF(AND(400&gt;=$E155, 400&lt;=$F155), ROUND(Cp_Database_200!$F155 + Cp_Database_200!$G155*0.4 + Cp_Database_200!$H155*0.16 + Cp_Database_200!$I155*0.064 + Cp_Database_200!$J155/0.16, 2), "-")</f>
        <v>116.2</v>
      </c>
      <c r="I155" s="16">
        <f>IF(AND(500&gt;=$E155, 500&lt;=$F155), ROUND(Cp_Database_200!$F155 + Cp_Database_200!$G155*0.5 + Cp_Database_200!$H155*0.25 + Cp_Database_200!$I155*0.125 + Cp_Database_200!$J155/0.25, 2), "-")</f>
        <v>127.38</v>
      </c>
      <c r="J155" s="16">
        <f>IF(AND(600&gt;=$E155, 600&lt;=$F155), ROUND(Cp_Database_200!$F155 + Cp_Database_200!$G155*0.6 + Cp_Database_200!$H155*0.36 + Cp_Database_200!$I155*0.216 + Cp_Database_200!$J155/0.36, 2), "-")</f>
        <v>135.59</v>
      </c>
      <c r="K155" s="16">
        <f>IF(AND(700&gt;=$E155, 700&lt;=$F155), ROUND(Cp_Database_200!$F155 + Cp_Database_200!$G155*0.7 + Cp_Database_200!$H155*0.49 + Cp_Database_200!$I155*0.343 + Cp_Database_200!$J155/0.49, 2), "-")</f>
        <v>141.94</v>
      </c>
      <c r="L155" s="16">
        <f>IF(AND(800&gt;=$E155, 800&lt;=$F155), ROUND(Cp_Database_200!$F155 + Cp_Database_200!$G155*0.8 + Cp_Database_200!$H155*0.64 + Cp_Database_200!$I155*0.512 + Cp_Database_200!$J155/0.64, 2), "-")</f>
        <v>146.96</v>
      </c>
      <c r="M155" s="16">
        <f>IF(AND(1000&gt;=$E155, 1000&lt;=$F155), ROUND(Cp_Database_200!$F155 + Cp_Database_200!$G155*1 + Cp_Database_200!$H155*1 + Cp_Database_200!$I155*1 + Cp_Database_200!$J155/1, 2), "-")</f>
        <v>154.16</v>
      </c>
      <c r="N155" s="16">
        <f>IF(AND(1200&gt;=$E155, 1200&lt;=$F155), ROUND(Cp_Database_200!$F155 + Cp_Database_200!$G155*1.2 + Cp_Database_200!$H155*1.44 + Cp_Database_200!$I155*1.728 + Cp_Database_200!$J155/1.44, 2), "-")</f>
        <v>158.75</v>
      </c>
      <c r="O155" s="16">
        <f>IF(AND(1500&gt;=$E155, 1500&lt;=$F155), ROUND(Cp_Database_200!$F155 + Cp_Database_200!$G155*1.5 + Cp_Database_200!$H155*2.25 + Cp_Database_200!$I155*3.375 + Cp_Database_200!$J155/2.25, 2), "-")</f>
        <v>163.07</v>
      </c>
      <c r="P155" s="16">
        <f>IF(AND(2000&gt;=$E155, 2000&lt;=$F155), ROUND(Cp_Database_200!$F155 + Cp_Database_200!$G155*2 + Cp_Database_200!$H155*4 + Cp_Database_200!$I155*8 + Cp_Database_200!$J155/4, 2), "-")</f>
        <v>170.95</v>
      </c>
    </row>
    <row r="156" spans="1:16" ht="15" x14ac:dyDescent="0.3">
      <c r="A156" s="2">
        <f>Cp_Database_200!A156</f>
        <v>155</v>
      </c>
      <c r="B156" s="3" t="str">
        <f>Cp_Database_200!B156</f>
        <v>Zinc Sulfate</v>
      </c>
      <c r="C156" s="4" t="str">
        <f>Cp_Database_200!C156</f>
        <v>ZnSO4</v>
      </c>
      <c r="D156" s="3" t="str">
        <f>Cp_Database_200!E156</f>
        <v>Sulfate</v>
      </c>
      <c r="E156" s="6">
        <f>Cp_Database_200!K156</f>
        <v>298</v>
      </c>
      <c r="F156" s="6">
        <f>Cp_Database_200!L156</f>
        <v>540</v>
      </c>
      <c r="G156" s="15">
        <f>IF(AND(298.15&gt;=$E156, 298.15&lt;=$F156), ROUND(Cp_Database_200!$F156 + Cp_Database_200!$G156*0.29815 + Cp_Database_200!$H156*0.08889342 + Cp_Database_200!$I156*0.02650357 + Cp_Database_200!$J156/0.08889342, 2), "-")</f>
        <v>99.04</v>
      </c>
      <c r="H156" s="15">
        <f>IF(AND(400&gt;=$E156, 400&lt;=$F156), ROUND(Cp_Database_200!$F156 + Cp_Database_200!$G156*0.4 + Cp_Database_200!$H156*0.16 + Cp_Database_200!$I156*0.064 + Cp_Database_200!$J156/0.16, 2), "-")</f>
        <v>116.02</v>
      </c>
      <c r="I156" s="15">
        <f>IF(AND(500&gt;=$E156, 500&lt;=$F156), ROUND(Cp_Database_200!$F156 + Cp_Database_200!$G156*0.5 + Cp_Database_200!$H156*0.25 + Cp_Database_200!$I156*0.125 + Cp_Database_200!$J156/0.25, 2), "-")</f>
        <v>131.21</v>
      </c>
      <c r="J156" s="15" t="str">
        <f>IF(AND(600&gt;=$E156, 600&lt;=$F156), ROUND(Cp_Database_200!$F156 + Cp_Database_200!$G156*0.6 + Cp_Database_200!$H156*0.36 + Cp_Database_200!$I156*0.216 + Cp_Database_200!$J156/0.36, 2), "-")</f>
        <v>-</v>
      </c>
      <c r="K156" s="15" t="str">
        <f>IF(AND(700&gt;=$E156, 700&lt;=$F156), ROUND(Cp_Database_200!$F156 + Cp_Database_200!$G156*0.7 + Cp_Database_200!$H156*0.49 + Cp_Database_200!$I156*0.343 + Cp_Database_200!$J156/0.49, 2), "-")</f>
        <v>-</v>
      </c>
      <c r="L156" s="15" t="str">
        <f>IF(AND(800&gt;=$E156, 800&lt;=$F156), ROUND(Cp_Database_200!$F156 + Cp_Database_200!$G156*0.8 + Cp_Database_200!$H156*0.64 + Cp_Database_200!$I156*0.512 + Cp_Database_200!$J156/0.64, 2), "-")</f>
        <v>-</v>
      </c>
      <c r="M156" s="15" t="str">
        <f>IF(AND(1000&gt;=$E156, 1000&lt;=$F156), ROUND(Cp_Database_200!$F156 + Cp_Database_200!$G156*1 + Cp_Database_200!$H156*1 + Cp_Database_200!$I156*1 + Cp_Database_200!$J156/1, 2), "-")</f>
        <v>-</v>
      </c>
      <c r="N156" s="15" t="str">
        <f>IF(AND(1200&gt;=$E156, 1200&lt;=$F156), ROUND(Cp_Database_200!$F156 + Cp_Database_200!$G156*1.2 + Cp_Database_200!$H156*1.44 + Cp_Database_200!$I156*1.728 + Cp_Database_200!$J156/1.44, 2), "-")</f>
        <v>-</v>
      </c>
      <c r="O156" s="15" t="str">
        <f>IF(AND(1500&gt;=$E156, 1500&lt;=$F156), ROUND(Cp_Database_200!$F156 + Cp_Database_200!$G156*1.5 + Cp_Database_200!$H156*2.25 + Cp_Database_200!$I156*3.375 + Cp_Database_200!$J156/2.25, 2), "-")</f>
        <v>-</v>
      </c>
      <c r="P156" s="15" t="str">
        <f>IF(AND(2000&gt;=$E156, 2000&lt;=$F156), ROUND(Cp_Database_200!$F156 + Cp_Database_200!$G156*2 + Cp_Database_200!$H156*4 + Cp_Database_200!$I156*8 + Cp_Database_200!$J156/4, 2), "-")</f>
        <v>-</v>
      </c>
    </row>
    <row r="157" spans="1:16" ht="15" x14ac:dyDescent="0.3">
      <c r="A157" s="8">
        <f>Cp_Database_200!A157</f>
        <v>156</v>
      </c>
      <c r="B157" s="9" t="str">
        <f>Cp_Database_200!B157</f>
        <v>Cobalt(II) Sulfate</v>
      </c>
      <c r="C157" s="10" t="str">
        <f>Cp_Database_200!C157</f>
        <v>CoSO4</v>
      </c>
      <c r="D157" s="9" t="str">
        <f>Cp_Database_200!E157</f>
        <v>Sulfate</v>
      </c>
      <c r="E157" s="12">
        <f>Cp_Database_200!K157</f>
        <v>298</v>
      </c>
      <c r="F157" s="12">
        <f>Cp_Database_200!L157</f>
        <v>964</v>
      </c>
      <c r="G157" s="16">
        <f>IF(AND(298.15&gt;=$E157, 298.15&lt;=$F157), ROUND(Cp_Database_200!$F157 + Cp_Database_200!$G157*0.29815 + Cp_Database_200!$H157*0.08889342 + Cp_Database_200!$I157*0.02650357 + Cp_Database_200!$J157/0.08889342, 2), "-")</f>
        <v>103.26</v>
      </c>
      <c r="H157" s="16">
        <f>IF(AND(400&gt;=$E157, 400&lt;=$F157), ROUND(Cp_Database_200!$F157 + Cp_Database_200!$G157*0.4 + Cp_Database_200!$H157*0.16 + Cp_Database_200!$I157*0.064 + Cp_Database_200!$J157/0.16, 2), "-")</f>
        <v>119.33</v>
      </c>
      <c r="I157" s="16">
        <f>IF(AND(500&gt;=$E157, 500&lt;=$F157), ROUND(Cp_Database_200!$F157 + Cp_Database_200!$G157*0.5 + Cp_Database_200!$H157*0.25 + Cp_Database_200!$I157*0.125 + Cp_Database_200!$J157/0.25, 2), "-")</f>
        <v>131.49</v>
      </c>
      <c r="J157" s="16">
        <f>IF(AND(600&gt;=$E157, 600&lt;=$F157), ROUND(Cp_Database_200!$F157 + Cp_Database_200!$G157*0.6 + Cp_Database_200!$H157*0.36 + Cp_Database_200!$I157*0.216 + Cp_Database_200!$J157/0.36, 2), "-")</f>
        <v>140.65</v>
      </c>
      <c r="K157" s="16">
        <f>IF(AND(700&gt;=$E157, 700&lt;=$F157), ROUND(Cp_Database_200!$F157 + Cp_Database_200!$G157*0.7 + Cp_Database_200!$H157*0.49 + Cp_Database_200!$I157*0.343 + Cp_Database_200!$J157/0.49, 2), "-")</f>
        <v>147.34</v>
      </c>
      <c r="L157" s="16">
        <f>IF(AND(800&gt;=$E157, 800&lt;=$F157), ROUND(Cp_Database_200!$F157 + Cp_Database_200!$G157*0.8 + Cp_Database_200!$H157*0.64 + Cp_Database_200!$I157*0.512 + Cp_Database_200!$J157/0.64, 2), "-")</f>
        <v>152.06</v>
      </c>
      <c r="M157" s="16" t="str">
        <f>IF(AND(1000&gt;=$E157, 1000&lt;=$F157), ROUND(Cp_Database_200!$F157 + Cp_Database_200!$G157*1 + Cp_Database_200!$H157*1 + Cp_Database_200!$I157*1 + Cp_Database_200!$J157/1, 2), "-")</f>
        <v>-</v>
      </c>
      <c r="N157" s="16" t="str">
        <f>IF(AND(1200&gt;=$E157, 1200&lt;=$F157), ROUND(Cp_Database_200!$F157 + Cp_Database_200!$G157*1.2 + Cp_Database_200!$H157*1.44 + Cp_Database_200!$I157*1.728 + Cp_Database_200!$J157/1.44, 2), "-")</f>
        <v>-</v>
      </c>
      <c r="O157" s="16" t="str">
        <f>IF(AND(1500&gt;=$E157, 1500&lt;=$F157), ROUND(Cp_Database_200!$F157 + Cp_Database_200!$G157*1.5 + Cp_Database_200!$H157*2.25 + Cp_Database_200!$I157*3.375 + Cp_Database_200!$J157/2.25, 2), "-")</f>
        <v>-</v>
      </c>
      <c r="P157" s="16" t="str">
        <f>IF(AND(2000&gt;=$E157, 2000&lt;=$F157), ROUND(Cp_Database_200!$F157 + Cp_Database_200!$G157*2 + Cp_Database_200!$H157*4 + Cp_Database_200!$I157*8 + Cp_Database_200!$J157/4, 2), "-")</f>
        <v>-</v>
      </c>
    </row>
    <row r="158" spans="1:16" ht="15" x14ac:dyDescent="0.3">
      <c r="A158" s="2">
        <f>Cp_Database_200!A158</f>
        <v>157</v>
      </c>
      <c r="B158" s="3" t="str">
        <f>Cp_Database_200!B158</f>
        <v>Lithium Sulfate</v>
      </c>
      <c r="C158" s="4" t="str">
        <f>Cp_Database_200!C158</f>
        <v>Li2SO4</v>
      </c>
      <c r="D158" s="3" t="str">
        <f>Cp_Database_200!E158</f>
        <v>Sulfate</v>
      </c>
      <c r="E158" s="6">
        <f>Cp_Database_200!K158</f>
        <v>298</v>
      </c>
      <c r="F158" s="6">
        <f>Cp_Database_200!L158</f>
        <v>1132</v>
      </c>
      <c r="G158" s="15">
        <f>IF(AND(298.15&gt;=$E158, 298.15&lt;=$F158), ROUND(Cp_Database_200!$F158 + Cp_Database_200!$G158*0.29815 + Cp_Database_200!$H158*0.08889342 + Cp_Database_200!$I158*0.02650357 + Cp_Database_200!$J158/0.08889342, 2), "-")</f>
        <v>117.59</v>
      </c>
      <c r="H158" s="15">
        <f>IF(AND(400&gt;=$E158, 400&lt;=$F158), ROUND(Cp_Database_200!$F158 + Cp_Database_200!$G158*0.4 + Cp_Database_200!$H158*0.16 + Cp_Database_200!$I158*0.064 + Cp_Database_200!$J158/0.16, 2), "-")</f>
        <v>139.05000000000001</v>
      </c>
      <c r="I158" s="15">
        <f>IF(AND(500&gt;=$E158, 500&lt;=$F158), ROUND(Cp_Database_200!$F158 + Cp_Database_200!$G158*0.5 + Cp_Database_200!$H158*0.25 + Cp_Database_200!$I158*0.125 + Cp_Database_200!$J158/0.25, 2), "-")</f>
        <v>154.62</v>
      </c>
      <c r="J158" s="15">
        <f>IF(AND(600&gt;=$E158, 600&lt;=$F158), ROUND(Cp_Database_200!$F158 + Cp_Database_200!$G158*0.6 + Cp_Database_200!$H158*0.36 + Cp_Database_200!$I158*0.216 + Cp_Database_200!$J158/0.36, 2), "-")</f>
        <v>168.64</v>
      </c>
      <c r="K158" s="15">
        <f>IF(AND(700&gt;=$E158, 700&lt;=$F158), ROUND(Cp_Database_200!$F158 + Cp_Database_200!$G158*0.7 + Cp_Database_200!$H158*0.49 + Cp_Database_200!$I158*0.343 + Cp_Database_200!$J158/0.49, 2), "-")</f>
        <v>182.3</v>
      </c>
      <c r="L158" s="15">
        <f>IF(AND(800&gt;=$E158, 800&lt;=$F158), ROUND(Cp_Database_200!$F158 + Cp_Database_200!$G158*0.8 + Cp_Database_200!$H158*0.64 + Cp_Database_200!$I158*0.512 + Cp_Database_200!$J158/0.64, 2), "-")</f>
        <v>195.97</v>
      </c>
      <c r="M158" s="15">
        <f>IF(AND(1000&gt;=$E158, 1000&lt;=$F158), ROUND(Cp_Database_200!$F158 + Cp_Database_200!$G158*1 + Cp_Database_200!$H158*1 + Cp_Database_200!$I158*1 + Cp_Database_200!$J158/1, 2), "-")</f>
        <v>223.49</v>
      </c>
      <c r="N158" s="15" t="str">
        <f>IF(AND(1200&gt;=$E158, 1200&lt;=$F158), ROUND(Cp_Database_200!$F158 + Cp_Database_200!$G158*1.2 + Cp_Database_200!$H158*1.44 + Cp_Database_200!$I158*1.728 + Cp_Database_200!$J158/1.44, 2), "-")</f>
        <v>-</v>
      </c>
      <c r="O158" s="15" t="str">
        <f>IF(AND(1500&gt;=$E158, 1500&lt;=$F158), ROUND(Cp_Database_200!$F158 + Cp_Database_200!$G158*1.5 + Cp_Database_200!$H158*2.25 + Cp_Database_200!$I158*3.375 + Cp_Database_200!$J158/2.25, 2), "-")</f>
        <v>-</v>
      </c>
      <c r="P158" s="15" t="str">
        <f>IF(AND(2000&gt;=$E158, 2000&lt;=$F158), ROUND(Cp_Database_200!$F158 + Cp_Database_200!$G158*2 + Cp_Database_200!$H158*4 + Cp_Database_200!$I158*8 + Cp_Database_200!$J158/4, 2), "-")</f>
        <v>-</v>
      </c>
    </row>
    <row r="159" spans="1:16" ht="15" x14ac:dyDescent="0.3">
      <c r="A159" s="8">
        <f>Cp_Database_200!A159</f>
        <v>158</v>
      </c>
      <c r="B159" s="9" t="str">
        <f>Cp_Database_200!B159</f>
        <v>Sodium Carbonate</v>
      </c>
      <c r="C159" s="10" t="str">
        <f>Cp_Database_200!C159</f>
        <v>Na2CO3</v>
      </c>
      <c r="D159" s="9" t="str">
        <f>Cp_Database_200!E159</f>
        <v>Carbonate</v>
      </c>
      <c r="E159" s="12">
        <f>Cp_Database_200!K159</f>
        <v>298</v>
      </c>
      <c r="F159" s="12">
        <f>Cp_Database_200!L159</f>
        <v>723</v>
      </c>
      <c r="G159" s="16">
        <f>IF(AND(298.15&gt;=$E159, 298.15&lt;=$F159), ROUND(Cp_Database_200!$F159 + Cp_Database_200!$G159*0.29815 + Cp_Database_200!$H159*0.08889342 + Cp_Database_200!$I159*0.02650357 + Cp_Database_200!$J159/0.08889342, 2), "-")</f>
        <v>111</v>
      </c>
      <c r="H159" s="16">
        <f>IF(AND(400&gt;=$E159, 400&lt;=$F159), ROUND(Cp_Database_200!$F159 + Cp_Database_200!$G159*0.4 + Cp_Database_200!$H159*0.16 + Cp_Database_200!$I159*0.064 + Cp_Database_200!$J159/0.16, 2), "-")</f>
        <v>125.1</v>
      </c>
      <c r="I159" s="16">
        <f>IF(AND(500&gt;=$E159, 500&lt;=$F159), ROUND(Cp_Database_200!$F159 + Cp_Database_200!$G159*0.5 + Cp_Database_200!$H159*0.25 + Cp_Database_200!$I159*0.125 + Cp_Database_200!$J159/0.25, 2), "-")</f>
        <v>142.21</v>
      </c>
      <c r="J159" s="16">
        <f>IF(AND(600&gt;=$E159, 600&lt;=$F159), ROUND(Cp_Database_200!$F159 + Cp_Database_200!$G159*0.6 + Cp_Database_200!$H159*0.36 + Cp_Database_200!$I159*0.216 + Cp_Database_200!$J159/0.36, 2), "-")</f>
        <v>163.33000000000001</v>
      </c>
      <c r="K159" s="16">
        <f>IF(AND(700&gt;=$E159, 700&lt;=$F159), ROUND(Cp_Database_200!$F159 + Cp_Database_200!$G159*0.7 + Cp_Database_200!$H159*0.49 + Cp_Database_200!$I159*0.343 + Cp_Database_200!$J159/0.49, 2), "-")</f>
        <v>187.53</v>
      </c>
      <c r="L159" s="16" t="str">
        <f>IF(AND(800&gt;=$E159, 800&lt;=$F159), ROUND(Cp_Database_200!$F159 + Cp_Database_200!$G159*0.8 + Cp_Database_200!$H159*0.64 + Cp_Database_200!$I159*0.512 + Cp_Database_200!$J159/0.64, 2), "-")</f>
        <v>-</v>
      </c>
      <c r="M159" s="16" t="str">
        <f>IF(AND(1000&gt;=$E159, 1000&lt;=$F159), ROUND(Cp_Database_200!$F159 + Cp_Database_200!$G159*1 + Cp_Database_200!$H159*1 + Cp_Database_200!$I159*1 + Cp_Database_200!$J159/1, 2), "-")</f>
        <v>-</v>
      </c>
      <c r="N159" s="16" t="str">
        <f>IF(AND(1200&gt;=$E159, 1200&lt;=$F159), ROUND(Cp_Database_200!$F159 + Cp_Database_200!$G159*1.2 + Cp_Database_200!$H159*1.44 + Cp_Database_200!$I159*1.728 + Cp_Database_200!$J159/1.44, 2), "-")</f>
        <v>-</v>
      </c>
      <c r="O159" s="16" t="str">
        <f>IF(AND(1500&gt;=$E159, 1500&lt;=$F159), ROUND(Cp_Database_200!$F159 + Cp_Database_200!$G159*1.5 + Cp_Database_200!$H159*2.25 + Cp_Database_200!$I159*3.375 + Cp_Database_200!$J159/2.25, 2), "-")</f>
        <v>-</v>
      </c>
      <c r="P159" s="16" t="str">
        <f>IF(AND(2000&gt;=$E159, 2000&lt;=$F159), ROUND(Cp_Database_200!$F159 + Cp_Database_200!$G159*2 + Cp_Database_200!$H159*4 + Cp_Database_200!$I159*8 + Cp_Database_200!$J159/4, 2), "-")</f>
        <v>-</v>
      </c>
    </row>
    <row r="160" spans="1:16" ht="15" x14ac:dyDescent="0.3">
      <c r="A160" s="2">
        <f>Cp_Database_200!A160</f>
        <v>159</v>
      </c>
      <c r="B160" s="3" t="str">
        <f>Cp_Database_200!B160</f>
        <v>Potassium Carbonate</v>
      </c>
      <c r="C160" s="4" t="str">
        <f>Cp_Database_200!C160</f>
        <v>K2CO3</v>
      </c>
      <c r="D160" s="3" t="str">
        <f>Cp_Database_200!E160</f>
        <v>Carbonate</v>
      </c>
      <c r="E160" s="6">
        <f>Cp_Database_200!K160</f>
        <v>298</v>
      </c>
      <c r="F160" s="6">
        <f>Cp_Database_200!L160</f>
        <v>1174</v>
      </c>
      <c r="G160" s="15">
        <f>IF(AND(298.15&gt;=$E160, 298.15&lt;=$F160), ROUND(Cp_Database_200!$F160 + Cp_Database_200!$G160*0.29815 + Cp_Database_200!$H160*0.08889342 + Cp_Database_200!$I160*0.02650357 + Cp_Database_200!$J160/0.08889342, 2), "-")</f>
        <v>114.35</v>
      </c>
      <c r="H160" s="15">
        <f>IF(AND(400&gt;=$E160, 400&lt;=$F160), ROUND(Cp_Database_200!$F160 + Cp_Database_200!$G160*0.4 + Cp_Database_200!$H160*0.16 + Cp_Database_200!$I160*0.064 + Cp_Database_200!$J160/0.16, 2), "-")</f>
        <v>128.56</v>
      </c>
      <c r="I160" s="15">
        <f>IF(AND(500&gt;=$E160, 500&lt;=$F160), ROUND(Cp_Database_200!$F160 + Cp_Database_200!$G160*0.5 + Cp_Database_200!$H160*0.25 + Cp_Database_200!$I160*0.125 + Cp_Database_200!$J160/0.25, 2), "-")</f>
        <v>139.97999999999999</v>
      </c>
      <c r="J160" s="15">
        <f>IF(AND(600&gt;=$E160, 600&lt;=$F160), ROUND(Cp_Database_200!$F160 + Cp_Database_200!$G160*0.6 + Cp_Database_200!$H160*0.36 + Cp_Database_200!$I160*0.216 + Cp_Database_200!$J160/0.36, 2), "-")</f>
        <v>150.4</v>
      </c>
      <c r="K160" s="15">
        <f>IF(AND(700&gt;=$E160, 700&lt;=$F160), ROUND(Cp_Database_200!$F160 + Cp_Database_200!$G160*0.7 + Cp_Database_200!$H160*0.49 + Cp_Database_200!$I160*0.343 + Cp_Database_200!$J160/0.49, 2), "-")</f>
        <v>160.34</v>
      </c>
      <c r="L160" s="15">
        <f>IF(AND(800&gt;=$E160, 800&lt;=$F160), ROUND(Cp_Database_200!$F160 + Cp_Database_200!$G160*0.8 + Cp_Database_200!$H160*0.64 + Cp_Database_200!$I160*0.512 + Cp_Database_200!$J160/0.64, 2), "-")</f>
        <v>170.03</v>
      </c>
      <c r="M160" s="15">
        <f>IF(AND(1000&gt;=$E160, 1000&lt;=$F160), ROUND(Cp_Database_200!$F160 + Cp_Database_200!$G160*1 + Cp_Database_200!$H160*1 + Cp_Database_200!$I160*1 + Cp_Database_200!$J160/1, 2), "-")</f>
        <v>189.01</v>
      </c>
      <c r="N160" s="15" t="str">
        <f>IF(AND(1200&gt;=$E160, 1200&lt;=$F160), ROUND(Cp_Database_200!$F160 + Cp_Database_200!$G160*1.2 + Cp_Database_200!$H160*1.44 + Cp_Database_200!$I160*1.728 + Cp_Database_200!$J160/1.44, 2), "-")</f>
        <v>-</v>
      </c>
      <c r="O160" s="15" t="str">
        <f>IF(AND(1500&gt;=$E160, 1500&lt;=$F160), ROUND(Cp_Database_200!$F160 + Cp_Database_200!$G160*1.5 + Cp_Database_200!$H160*2.25 + Cp_Database_200!$I160*3.375 + Cp_Database_200!$J160/2.25, 2), "-")</f>
        <v>-</v>
      </c>
      <c r="P160" s="15" t="str">
        <f>IF(AND(2000&gt;=$E160, 2000&lt;=$F160), ROUND(Cp_Database_200!$F160 + Cp_Database_200!$G160*2 + Cp_Database_200!$H160*4 + Cp_Database_200!$I160*8 + Cp_Database_200!$J160/4, 2), "-")</f>
        <v>-</v>
      </c>
    </row>
    <row r="161" spans="1:16" ht="15" x14ac:dyDescent="0.3">
      <c r="A161" s="8">
        <f>Cp_Database_200!A161</f>
        <v>160</v>
      </c>
      <c r="B161" s="9" t="str">
        <f>Cp_Database_200!B161</f>
        <v>Lithium Carbonate</v>
      </c>
      <c r="C161" s="10" t="str">
        <f>Cp_Database_200!C161</f>
        <v>Li2CO3</v>
      </c>
      <c r="D161" s="9" t="str">
        <f>Cp_Database_200!E161</f>
        <v>Carbonate</v>
      </c>
      <c r="E161" s="12">
        <f>Cp_Database_200!K161</f>
        <v>298</v>
      </c>
      <c r="F161" s="12">
        <f>Cp_Database_200!L161</f>
        <v>683</v>
      </c>
      <c r="G161" s="16">
        <f>IF(AND(298.15&gt;=$E161, 298.15&lt;=$F161), ROUND(Cp_Database_200!$F161 + Cp_Database_200!$G161*0.29815 + Cp_Database_200!$H161*0.08889342 + Cp_Database_200!$I161*0.02650357 + Cp_Database_200!$J161/0.08889342, 2), "-")</f>
        <v>96.27</v>
      </c>
      <c r="H161" s="16">
        <f>IF(AND(400&gt;=$E161, 400&lt;=$F161), ROUND(Cp_Database_200!$F161 + Cp_Database_200!$G161*0.4 + Cp_Database_200!$H161*0.16 + Cp_Database_200!$I161*0.064 + Cp_Database_200!$J161/0.16, 2), "-")</f>
        <v>112.46</v>
      </c>
      <c r="I161" s="16">
        <f>IF(AND(500&gt;=$E161, 500&lt;=$F161), ROUND(Cp_Database_200!$F161 + Cp_Database_200!$G161*0.5 + Cp_Database_200!$H161*0.25 + Cp_Database_200!$I161*0.125 + Cp_Database_200!$J161/0.25, 2), "-")</f>
        <v>129.19999999999999</v>
      </c>
      <c r="J161" s="16">
        <f>IF(AND(600&gt;=$E161, 600&lt;=$F161), ROUND(Cp_Database_200!$F161 + Cp_Database_200!$G161*0.6 + Cp_Database_200!$H161*0.36 + Cp_Database_200!$I161*0.216 + Cp_Database_200!$J161/0.36, 2), "-")</f>
        <v>149.41</v>
      </c>
      <c r="K161" s="16" t="str">
        <f>IF(AND(700&gt;=$E161, 700&lt;=$F161), ROUND(Cp_Database_200!$F161 + Cp_Database_200!$G161*0.7 + Cp_Database_200!$H161*0.49 + Cp_Database_200!$I161*0.343 + Cp_Database_200!$J161/0.49, 2), "-")</f>
        <v>-</v>
      </c>
      <c r="L161" s="16" t="str">
        <f>IF(AND(800&gt;=$E161, 800&lt;=$F161), ROUND(Cp_Database_200!$F161 + Cp_Database_200!$G161*0.8 + Cp_Database_200!$H161*0.64 + Cp_Database_200!$I161*0.512 + Cp_Database_200!$J161/0.64, 2), "-")</f>
        <v>-</v>
      </c>
      <c r="M161" s="16" t="str">
        <f>IF(AND(1000&gt;=$E161, 1000&lt;=$F161), ROUND(Cp_Database_200!$F161 + Cp_Database_200!$G161*1 + Cp_Database_200!$H161*1 + Cp_Database_200!$I161*1 + Cp_Database_200!$J161/1, 2), "-")</f>
        <v>-</v>
      </c>
      <c r="N161" s="16" t="str">
        <f>IF(AND(1200&gt;=$E161, 1200&lt;=$F161), ROUND(Cp_Database_200!$F161 + Cp_Database_200!$G161*1.2 + Cp_Database_200!$H161*1.44 + Cp_Database_200!$I161*1.728 + Cp_Database_200!$J161/1.44, 2), "-")</f>
        <v>-</v>
      </c>
      <c r="O161" s="16" t="str">
        <f>IF(AND(1500&gt;=$E161, 1500&lt;=$F161), ROUND(Cp_Database_200!$F161 + Cp_Database_200!$G161*1.5 + Cp_Database_200!$H161*2.25 + Cp_Database_200!$I161*3.375 + Cp_Database_200!$J161/2.25, 2), "-")</f>
        <v>-</v>
      </c>
      <c r="P161" s="16" t="str">
        <f>IF(AND(2000&gt;=$E161, 2000&lt;=$F161), ROUND(Cp_Database_200!$F161 + Cp_Database_200!$G161*2 + Cp_Database_200!$H161*4 + Cp_Database_200!$I161*8 + Cp_Database_200!$J161/4, 2), "-")</f>
        <v>-</v>
      </c>
    </row>
    <row r="162" spans="1:16" ht="15" x14ac:dyDescent="0.3">
      <c r="A162" s="2">
        <f>Cp_Database_200!A162</f>
        <v>161</v>
      </c>
      <c r="B162" s="3" t="str">
        <f>Cp_Database_200!B162</f>
        <v>Ammonium Chloride</v>
      </c>
      <c r="C162" s="4" t="str">
        <f>Cp_Database_200!C162</f>
        <v>NH4Cl</v>
      </c>
      <c r="D162" s="3" t="str">
        <f>Cp_Database_200!E162</f>
        <v>Halide &amp; Salt</v>
      </c>
      <c r="E162" s="6">
        <f>Cp_Database_200!K162</f>
        <v>298</v>
      </c>
      <c r="F162" s="6">
        <f>Cp_Database_200!L162</f>
        <v>458</v>
      </c>
      <c r="G162" s="15">
        <f>IF(AND(298.15&gt;=$E162, 298.15&lt;=$F162), ROUND(Cp_Database_200!$F162 + Cp_Database_200!$G162*0.29815 + Cp_Database_200!$H162*0.08889342 + Cp_Database_200!$I162*0.02650357 + Cp_Database_200!$J162/0.08889342, 2), "-")</f>
        <v>86.48</v>
      </c>
      <c r="H162" s="15">
        <f>IF(AND(400&gt;=$E162, 400&lt;=$F162), ROUND(Cp_Database_200!$F162 + Cp_Database_200!$G162*0.4 + Cp_Database_200!$H162*0.16 + Cp_Database_200!$I162*0.064 + Cp_Database_200!$J162/0.16, 2), "-")</f>
        <v>102.97</v>
      </c>
      <c r="I162" s="15" t="str">
        <f>IF(AND(500&gt;=$E162, 500&lt;=$F162), ROUND(Cp_Database_200!$F162 + Cp_Database_200!$G162*0.5 + Cp_Database_200!$H162*0.25 + Cp_Database_200!$I162*0.125 + Cp_Database_200!$J162/0.25, 2), "-")</f>
        <v>-</v>
      </c>
      <c r="J162" s="15" t="str">
        <f>IF(AND(600&gt;=$E162, 600&lt;=$F162), ROUND(Cp_Database_200!$F162 + Cp_Database_200!$G162*0.6 + Cp_Database_200!$H162*0.36 + Cp_Database_200!$I162*0.216 + Cp_Database_200!$J162/0.36, 2), "-")</f>
        <v>-</v>
      </c>
      <c r="K162" s="15" t="str">
        <f>IF(AND(700&gt;=$E162, 700&lt;=$F162), ROUND(Cp_Database_200!$F162 + Cp_Database_200!$G162*0.7 + Cp_Database_200!$H162*0.49 + Cp_Database_200!$I162*0.343 + Cp_Database_200!$J162/0.49, 2), "-")</f>
        <v>-</v>
      </c>
      <c r="L162" s="15" t="str">
        <f>IF(AND(800&gt;=$E162, 800&lt;=$F162), ROUND(Cp_Database_200!$F162 + Cp_Database_200!$G162*0.8 + Cp_Database_200!$H162*0.64 + Cp_Database_200!$I162*0.512 + Cp_Database_200!$J162/0.64, 2), "-")</f>
        <v>-</v>
      </c>
      <c r="M162" s="15" t="str">
        <f>IF(AND(1000&gt;=$E162, 1000&lt;=$F162), ROUND(Cp_Database_200!$F162 + Cp_Database_200!$G162*1 + Cp_Database_200!$H162*1 + Cp_Database_200!$I162*1 + Cp_Database_200!$J162/1, 2), "-")</f>
        <v>-</v>
      </c>
      <c r="N162" s="15" t="str">
        <f>IF(AND(1200&gt;=$E162, 1200&lt;=$F162), ROUND(Cp_Database_200!$F162 + Cp_Database_200!$G162*1.2 + Cp_Database_200!$H162*1.44 + Cp_Database_200!$I162*1.728 + Cp_Database_200!$J162/1.44, 2), "-")</f>
        <v>-</v>
      </c>
      <c r="O162" s="15" t="str">
        <f>IF(AND(1500&gt;=$E162, 1500&lt;=$F162), ROUND(Cp_Database_200!$F162 + Cp_Database_200!$G162*1.5 + Cp_Database_200!$H162*2.25 + Cp_Database_200!$I162*3.375 + Cp_Database_200!$J162/2.25, 2), "-")</f>
        <v>-</v>
      </c>
      <c r="P162" s="15" t="str">
        <f>IF(AND(2000&gt;=$E162, 2000&lt;=$F162), ROUND(Cp_Database_200!$F162 + Cp_Database_200!$G162*2 + Cp_Database_200!$H162*4 + Cp_Database_200!$I162*8 + Cp_Database_200!$J162/4, 2), "-")</f>
        <v>-</v>
      </c>
    </row>
    <row r="163" spans="1:16" ht="15" x14ac:dyDescent="0.3">
      <c r="A163" s="8">
        <f>Cp_Database_200!A163</f>
        <v>162</v>
      </c>
      <c r="B163" s="9" t="str">
        <f>Cp_Database_200!B163</f>
        <v>Aluminium Chloride</v>
      </c>
      <c r="C163" s="10" t="str">
        <f>Cp_Database_200!C163</f>
        <v>AlCl3</v>
      </c>
      <c r="D163" s="9" t="str">
        <f>Cp_Database_200!E163</f>
        <v>Halide &amp; Salt</v>
      </c>
      <c r="E163" s="12">
        <f>Cp_Database_200!K163</f>
        <v>298</v>
      </c>
      <c r="F163" s="12">
        <f>Cp_Database_200!L163</f>
        <v>465.7</v>
      </c>
      <c r="G163" s="16">
        <f>IF(AND(298.15&gt;=$E163, 298.15&lt;=$F163), ROUND(Cp_Database_200!$F163 + Cp_Database_200!$G163*0.29815 + Cp_Database_200!$H163*0.08889342 + Cp_Database_200!$I163*0.02650357 + Cp_Database_200!$J163/0.08889342, 2), "-")</f>
        <v>91.13</v>
      </c>
      <c r="H163" s="16">
        <f>IF(AND(400&gt;=$E163, 400&lt;=$F163), ROUND(Cp_Database_200!$F163 + Cp_Database_200!$G163*0.4 + Cp_Database_200!$H163*0.16 + Cp_Database_200!$I163*0.064 + Cp_Database_200!$J163/0.16, 2), "-")</f>
        <v>100.08</v>
      </c>
      <c r="I163" s="16" t="str">
        <f>IF(AND(500&gt;=$E163, 500&lt;=$F163), ROUND(Cp_Database_200!$F163 + Cp_Database_200!$G163*0.5 + Cp_Database_200!$H163*0.25 + Cp_Database_200!$I163*0.125 + Cp_Database_200!$J163/0.25, 2), "-")</f>
        <v>-</v>
      </c>
      <c r="J163" s="16" t="str">
        <f>IF(AND(600&gt;=$E163, 600&lt;=$F163), ROUND(Cp_Database_200!$F163 + Cp_Database_200!$G163*0.6 + Cp_Database_200!$H163*0.36 + Cp_Database_200!$I163*0.216 + Cp_Database_200!$J163/0.36, 2), "-")</f>
        <v>-</v>
      </c>
      <c r="K163" s="16" t="str">
        <f>IF(AND(700&gt;=$E163, 700&lt;=$F163), ROUND(Cp_Database_200!$F163 + Cp_Database_200!$G163*0.7 + Cp_Database_200!$H163*0.49 + Cp_Database_200!$I163*0.343 + Cp_Database_200!$J163/0.49, 2), "-")</f>
        <v>-</v>
      </c>
      <c r="L163" s="16" t="str">
        <f>IF(AND(800&gt;=$E163, 800&lt;=$F163), ROUND(Cp_Database_200!$F163 + Cp_Database_200!$G163*0.8 + Cp_Database_200!$H163*0.64 + Cp_Database_200!$I163*0.512 + Cp_Database_200!$J163/0.64, 2), "-")</f>
        <v>-</v>
      </c>
      <c r="M163" s="16" t="str">
        <f>IF(AND(1000&gt;=$E163, 1000&lt;=$F163), ROUND(Cp_Database_200!$F163 + Cp_Database_200!$G163*1 + Cp_Database_200!$H163*1 + Cp_Database_200!$I163*1 + Cp_Database_200!$J163/1, 2), "-")</f>
        <v>-</v>
      </c>
      <c r="N163" s="16" t="str">
        <f>IF(AND(1200&gt;=$E163, 1200&lt;=$F163), ROUND(Cp_Database_200!$F163 + Cp_Database_200!$G163*1.2 + Cp_Database_200!$H163*1.44 + Cp_Database_200!$I163*1.728 + Cp_Database_200!$J163/1.44, 2), "-")</f>
        <v>-</v>
      </c>
      <c r="O163" s="16" t="str">
        <f>IF(AND(1500&gt;=$E163, 1500&lt;=$F163), ROUND(Cp_Database_200!$F163 + Cp_Database_200!$G163*1.5 + Cp_Database_200!$H163*2.25 + Cp_Database_200!$I163*3.375 + Cp_Database_200!$J163/2.25, 2), "-")</f>
        <v>-</v>
      </c>
      <c r="P163" s="16" t="str">
        <f>IF(AND(2000&gt;=$E163, 2000&lt;=$F163), ROUND(Cp_Database_200!$F163 + Cp_Database_200!$G163*2 + Cp_Database_200!$H163*4 + Cp_Database_200!$I163*8 + Cp_Database_200!$J163/4, 2), "-")</f>
        <v>-</v>
      </c>
    </row>
    <row r="164" spans="1:16" ht="15" x14ac:dyDescent="0.3">
      <c r="A164" s="2">
        <f>Cp_Database_200!A164</f>
        <v>163</v>
      </c>
      <c r="B164" s="3" t="str">
        <f>Cp_Database_200!B164</f>
        <v>Aluminium Fluoride</v>
      </c>
      <c r="C164" s="4" t="str">
        <f>Cp_Database_200!C164</f>
        <v>AlF3</v>
      </c>
      <c r="D164" s="3" t="str">
        <f>Cp_Database_200!E164</f>
        <v>Halide &amp; Salt</v>
      </c>
      <c r="E164" s="6">
        <f>Cp_Database_200!K164</f>
        <v>298</v>
      </c>
      <c r="F164" s="6">
        <f>Cp_Database_200!L164</f>
        <v>728</v>
      </c>
      <c r="G164" s="15">
        <f>IF(AND(298.15&gt;=$E164, 298.15&lt;=$F164), ROUND(Cp_Database_200!$F164 + Cp_Database_200!$G164*0.29815 + Cp_Database_200!$H164*0.08889342 + Cp_Database_200!$I164*0.02650357 + Cp_Database_200!$J164/0.08889342, 2), "-")</f>
        <v>75.13</v>
      </c>
      <c r="H164" s="15">
        <f>IF(AND(400&gt;=$E164, 400&lt;=$F164), ROUND(Cp_Database_200!$F164 + Cp_Database_200!$G164*0.4 + Cp_Database_200!$H164*0.16 + Cp_Database_200!$I164*0.064 + Cp_Database_200!$J164/0.16, 2), "-")</f>
        <v>86.29</v>
      </c>
      <c r="I164" s="15">
        <f>IF(AND(500&gt;=$E164, 500&lt;=$F164), ROUND(Cp_Database_200!$F164 + Cp_Database_200!$G164*0.5 + Cp_Database_200!$H164*0.25 + Cp_Database_200!$I164*0.125 + Cp_Database_200!$J164/0.25, 2), "-")</f>
        <v>92.27</v>
      </c>
      <c r="J164" s="15">
        <f>IF(AND(600&gt;=$E164, 600&lt;=$F164), ROUND(Cp_Database_200!$F164 + Cp_Database_200!$G164*0.6 + Cp_Database_200!$H164*0.36 + Cp_Database_200!$I164*0.216 + Cp_Database_200!$J164/0.36, 2), "-")</f>
        <v>97.31</v>
      </c>
      <c r="K164" s="15">
        <f>IF(AND(700&gt;=$E164, 700&lt;=$F164), ROUND(Cp_Database_200!$F164 + Cp_Database_200!$G164*0.7 + Cp_Database_200!$H164*0.49 + Cp_Database_200!$I164*0.343 + Cp_Database_200!$J164/0.49, 2), "-")</f>
        <v>105.36</v>
      </c>
      <c r="L164" s="15" t="str">
        <f>IF(AND(800&gt;=$E164, 800&lt;=$F164), ROUND(Cp_Database_200!$F164 + Cp_Database_200!$G164*0.8 + Cp_Database_200!$H164*0.64 + Cp_Database_200!$I164*0.512 + Cp_Database_200!$J164/0.64, 2), "-")</f>
        <v>-</v>
      </c>
      <c r="M164" s="15" t="str">
        <f>IF(AND(1000&gt;=$E164, 1000&lt;=$F164), ROUND(Cp_Database_200!$F164 + Cp_Database_200!$G164*1 + Cp_Database_200!$H164*1 + Cp_Database_200!$I164*1 + Cp_Database_200!$J164/1, 2), "-")</f>
        <v>-</v>
      </c>
      <c r="N164" s="15" t="str">
        <f>IF(AND(1200&gt;=$E164, 1200&lt;=$F164), ROUND(Cp_Database_200!$F164 + Cp_Database_200!$G164*1.2 + Cp_Database_200!$H164*1.44 + Cp_Database_200!$I164*1.728 + Cp_Database_200!$J164/1.44, 2), "-")</f>
        <v>-</v>
      </c>
      <c r="O164" s="15" t="str">
        <f>IF(AND(1500&gt;=$E164, 1500&lt;=$F164), ROUND(Cp_Database_200!$F164 + Cp_Database_200!$G164*1.5 + Cp_Database_200!$H164*2.25 + Cp_Database_200!$I164*3.375 + Cp_Database_200!$J164/2.25, 2), "-")</f>
        <v>-</v>
      </c>
      <c r="P164" s="15" t="str">
        <f>IF(AND(2000&gt;=$E164, 2000&lt;=$F164), ROUND(Cp_Database_200!$F164 + Cp_Database_200!$G164*2 + Cp_Database_200!$H164*4 + Cp_Database_200!$I164*8 + Cp_Database_200!$J164/4, 2), "-")</f>
        <v>-</v>
      </c>
    </row>
    <row r="165" spans="1:16" ht="15" x14ac:dyDescent="0.3">
      <c r="A165" s="8">
        <f>Cp_Database_200!A165</f>
        <v>164</v>
      </c>
      <c r="B165" s="9" t="str">
        <f>Cp_Database_200!B165</f>
        <v>Iron(III) Chloride</v>
      </c>
      <c r="C165" s="10" t="str">
        <f>Cp_Database_200!C165</f>
        <v>FeCl3</v>
      </c>
      <c r="D165" s="9" t="str">
        <f>Cp_Database_200!E165</f>
        <v>Halide &amp; Salt</v>
      </c>
      <c r="E165" s="12">
        <f>Cp_Database_200!K165</f>
        <v>298</v>
      </c>
      <c r="F165" s="12">
        <f>Cp_Database_200!L165</f>
        <v>577</v>
      </c>
      <c r="G165" s="16">
        <f>IF(AND(298.15&gt;=$E165, 298.15&lt;=$F165), ROUND(Cp_Database_200!$F165 + Cp_Database_200!$G165*0.29815 + Cp_Database_200!$H165*0.08889342 + Cp_Database_200!$I165*0.02650357 + Cp_Database_200!$J165/0.08889342, 2), "-")</f>
        <v>96.65</v>
      </c>
      <c r="H165" s="16">
        <f>IF(AND(400&gt;=$E165, 400&lt;=$F165), ROUND(Cp_Database_200!$F165 + Cp_Database_200!$G165*0.4 + Cp_Database_200!$H165*0.16 + Cp_Database_200!$I165*0.064 + Cp_Database_200!$J165/0.16, 2), "-")</f>
        <v>106.69</v>
      </c>
      <c r="I165" s="16">
        <f>IF(AND(500&gt;=$E165, 500&lt;=$F165), ROUND(Cp_Database_200!$F165 + Cp_Database_200!$G165*0.5 + Cp_Database_200!$H165*0.25 + Cp_Database_200!$I165*0.125 + Cp_Database_200!$J165/0.25, 2), "-")</f>
        <v>119.87</v>
      </c>
      <c r="J165" s="16" t="str">
        <f>IF(AND(600&gt;=$E165, 600&lt;=$F165), ROUND(Cp_Database_200!$F165 + Cp_Database_200!$G165*0.6 + Cp_Database_200!$H165*0.36 + Cp_Database_200!$I165*0.216 + Cp_Database_200!$J165/0.36, 2), "-")</f>
        <v>-</v>
      </c>
      <c r="K165" s="16" t="str">
        <f>IF(AND(700&gt;=$E165, 700&lt;=$F165), ROUND(Cp_Database_200!$F165 + Cp_Database_200!$G165*0.7 + Cp_Database_200!$H165*0.49 + Cp_Database_200!$I165*0.343 + Cp_Database_200!$J165/0.49, 2), "-")</f>
        <v>-</v>
      </c>
      <c r="L165" s="16" t="str">
        <f>IF(AND(800&gt;=$E165, 800&lt;=$F165), ROUND(Cp_Database_200!$F165 + Cp_Database_200!$G165*0.8 + Cp_Database_200!$H165*0.64 + Cp_Database_200!$I165*0.512 + Cp_Database_200!$J165/0.64, 2), "-")</f>
        <v>-</v>
      </c>
      <c r="M165" s="16" t="str">
        <f>IF(AND(1000&gt;=$E165, 1000&lt;=$F165), ROUND(Cp_Database_200!$F165 + Cp_Database_200!$G165*1 + Cp_Database_200!$H165*1 + Cp_Database_200!$I165*1 + Cp_Database_200!$J165/1, 2), "-")</f>
        <v>-</v>
      </c>
      <c r="N165" s="16" t="str">
        <f>IF(AND(1200&gt;=$E165, 1200&lt;=$F165), ROUND(Cp_Database_200!$F165 + Cp_Database_200!$G165*1.2 + Cp_Database_200!$H165*1.44 + Cp_Database_200!$I165*1.728 + Cp_Database_200!$J165/1.44, 2), "-")</f>
        <v>-</v>
      </c>
      <c r="O165" s="16" t="str">
        <f>IF(AND(1500&gt;=$E165, 1500&lt;=$F165), ROUND(Cp_Database_200!$F165 + Cp_Database_200!$G165*1.5 + Cp_Database_200!$H165*2.25 + Cp_Database_200!$I165*3.375 + Cp_Database_200!$J165/2.25, 2), "-")</f>
        <v>-</v>
      </c>
      <c r="P165" s="16" t="str">
        <f>IF(AND(2000&gt;=$E165, 2000&lt;=$F165), ROUND(Cp_Database_200!$F165 + Cp_Database_200!$G165*2 + Cp_Database_200!$H165*4 + Cp_Database_200!$I165*8 + Cp_Database_200!$J165/4, 2), "-")</f>
        <v>-</v>
      </c>
    </row>
    <row r="166" spans="1:16" ht="15" x14ac:dyDescent="0.3">
      <c r="A166" s="2">
        <f>Cp_Database_200!A166</f>
        <v>165</v>
      </c>
      <c r="B166" s="3" t="str">
        <f>Cp_Database_200!B166</f>
        <v>Iron(II) Chloride</v>
      </c>
      <c r="C166" s="4" t="str">
        <f>Cp_Database_200!C166</f>
        <v>FeCl2</v>
      </c>
      <c r="D166" s="3" t="str">
        <f>Cp_Database_200!E166</f>
        <v>Halide &amp; Salt</v>
      </c>
      <c r="E166" s="6">
        <f>Cp_Database_200!K166</f>
        <v>298</v>
      </c>
      <c r="F166" s="6">
        <f>Cp_Database_200!L166</f>
        <v>950</v>
      </c>
      <c r="G166" s="15">
        <f>IF(AND(298.15&gt;=$E166, 298.15&lt;=$F166), ROUND(Cp_Database_200!$F166 + Cp_Database_200!$G166*0.29815 + Cp_Database_200!$H166*0.08889342 + Cp_Database_200!$I166*0.02650357 + Cp_Database_200!$J166/0.08889342, 2), "-")</f>
        <v>76.69</v>
      </c>
      <c r="H166" s="15">
        <f>IF(AND(400&gt;=$E166, 400&lt;=$F166), ROUND(Cp_Database_200!$F166 + Cp_Database_200!$G166*0.4 + Cp_Database_200!$H166*0.16 + Cp_Database_200!$I166*0.064 + Cp_Database_200!$J166/0.16, 2), "-")</f>
        <v>79.58</v>
      </c>
      <c r="I166" s="15">
        <f>IF(AND(500&gt;=$E166, 500&lt;=$F166), ROUND(Cp_Database_200!$F166 + Cp_Database_200!$G166*0.5 + Cp_Database_200!$H166*0.25 + Cp_Database_200!$I166*0.125 + Cp_Database_200!$J166/0.25, 2), "-")</f>
        <v>81.58</v>
      </c>
      <c r="J166" s="15">
        <f>IF(AND(600&gt;=$E166, 600&lt;=$F166), ROUND(Cp_Database_200!$F166 + Cp_Database_200!$G166*0.6 + Cp_Database_200!$H166*0.36 + Cp_Database_200!$I166*0.216 + Cp_Database_200!$J166/0.36, 2), "-")</f>
        <v>83.16</v>
      </c>
      <c r="K166" s="15">
        <f>IF(AND(700&gt;=$E166, 700&lt;=$F166), ROUND(Cp_Database_200!$F166 + Cp_Database_200!$G166*0.7 + Cp_Database_200!$H166*0.49 + Cp_Database_200!$I166*0.343 + Cp_Database_200!$J166/0.49, 2), "-")</f>
        <v>84.47</v>
      </c>
      <c r="L166" s="15">
        <f>IF(AND(800&gt;=$E166, 800&lt;=$F166), ROUND(Cp_Database_200!$F166 + Cp_Database_200!$G166*0.8 + Cp_Database_200!$H166*0.64 + Cp_Database_200!$I166*0.512 + Cp_Database_200!$J166/0.64, 2), "-")</f>
        <v>85.58</v>
      </c>
      <c r="M166" s="15" t="str">
        <f>IF(AND(1000&gt;=$E166, 1000&lt;=$F166), ROUND(Cp_Database_200!$F166 + Cp_Database_200!$G166*1 + Cp_Database_200!$H166*1 + Cp_Database_200!$I166*1 + Cp_Database_200!$J166/1, 2), "-")</f>
        <v>-</v>
      </c>
      <c r="N166" s="15" t="str">
        <f>IF(AND(1200&gt;=$E166, 1200&lt;=$F166), ROUND(Cp_Database_200!$F166 + Cp_Database_200!$G166*1.2 + Cp_Database_200!$H166*1.44 + Cp_Database_200!$I166*1.728 + Cp_Database_200!$J166/1.44, 2), "-")</f>
        <v>-</v>
      </c>
      <c r="O166" s="15" t="str">
        <f>IF(AND(1500&gt;=$E166, 1500&lt;=$F166), ROUND(Cp_Database_200!$F166 + Cp_Database_200!$G166*1.5 + Cp_Database_200!$H166*2.25 + Cp_Database_200!$I166*3.375 + Cp_Database_200!$J166/2.25, 2), "-")</f>
        <v>-</v>
      </c>
      <c r="P166" s="15" t="str">
        <f>IF(AND(2000&gt;=$E166, 2000&lt;=$F166), ROUND(Cp_Database_200!$F166 + Cp_Database_200!$G166*2 + Cp_Database_200!$H166*4 + Cp_Database_200!$I166*8 + Cp_Database_200!$J166/4, 2), "-")</f>
        <v>-</v>
      </c>
    </row>
    <row r="167" spans="1:16" ht="15" x14ac:dyDescent="0.3">
      <c r="A167" s="8">
        <f>Cp_Database_200!A167</f>
        <v>166</v>
      </c>
      <c r="B167" s="9" t="str">
        <f>Cp_Database_200!B167</f>
        <v>Copper(II) Chloride</v>
      </c>
      <c r="C167" s="10" t="str">
        <f>Cp_Database_200!C167</f>
        <v>CuCl2</v>
      </c>
      <c r="D167" s="9" t="str">
        <f>Cp_Database_200!E167</f>
        <v>Halide &amp; Salt</v>
      </c>
      <c r="E167" s="12">
        <f>Cp_Database_200!K167</f>
        <v>298</v>
      </c>
      <c r="F167" s="12">
        <f>Cp_Database_200!L167</f>
        <v>1500</v>
      </c>
      <c r="G167" s="16">
        <f>IF(AND(298.15&gt;=$E167, 298.15&lt;=$F167), ROUND(Cp_Database_200!$F167 + Cp_Database_200!$G167*0.29815 + Cp_Database_200!$H167*0.08889342 + Cp_Database_200!$I167*0.02650357 + Cp_Database_200!$J167/0.08889342, 2), "-")</f>
        <v>71.849999999999994</v>
      </c>
      <c r="H167" s="16">
        <f>IF(AND(400&gt;=$E167, 400&lt;=$F167), ROUND(Cp_Database_200!$F167 + Cp_Database_200!$G167*0.4 + Cp_Database_200!$H167*0.16 + Cp_Database_200!$I167*0.064 + Cp_Database_200!$J167/0.16, 2), "-")</f>
        <v>75.16</v>
      </c>
      <c r="I167" s="16">
        <f>IF(AND(500&gt;=$E167, 500&lt;=$F167), ROUND(Cp_Database_200!$F167 + Cp_Database_200!$G167*0.5 + Cp_Database_200!$H167*0.25 + Cp_Database_200!$I167*0.125 + Cp_Database_200!$J167/0.25, 2), "-")</f>
        <v>77.22</v>
      </c>
      <c r="J167" s="16">
        <f>IF(AND(600&gt;=$E167, 600&lt;=$F167), ROUND(Cp_Database_200!$F167 + Cp_Database_200!$G167*0.6 + Cp_Database_200!$H167*0.36 + Cp_Database_200!$I167*0.216 + Cp_Database_200!$J167/0.36, 2), "-")</f>
        <v>78.739999999999995</v>
      </c>
      <c r="K167" s="16">
        <f>IF(AND(700&gt;=$E167, 700&lt;=$F167), ROUND(Cp_Database_200!$F167 + Cp_Database_200!$G167*0.7 + Cp_Database_200!$H167*0.49 + Cp_Database_200!$I167*0.343 + Cp_Database_200!$J167/0.49, 2), "-")</f>
        <v>79.930000000000007</v>
      </c>
      <c r="L167" s="16">
        <f>IF(AND(800&gt;=$E167, 800&lt;=$F167), ROUND(Cp_Database_200!$F167 + Cp_Database_200!$G167*0.8 + Cp_Database_200!$H167*0.64 + Cp_Database_200!$I167*0.512 + Cp_Database_200!$J167/0.64, 2), "-")</f>
        <v>80.900000000000006</v>
      </c>
      <c r="M167" s="16">
        <f>IF(AND(1000&gt;=$E167, 1000&lt;=$F167), ROUND(Cp_Database_200!$F167 + Cp_Database_200!$G167*1 + Cp_Database_200!$H167*1 + Cp_Database_200!$I167*1 + Cp_Database_200!$J167/1, 2), "-")</f>
        <v>82.4</v>
      </c>
      <c r="N167" s="16">
        <f>IF(AND(1200&gt;=$E167, 1200&lt;=$F167), ROUND(Cp_Database_200!$F167 + Cp_Database_200!$G167*1.2 + Cp_Database_200!$H167*1.44 + Cp_Database_200!$I167*1.728 + Cp_Database_200!$J167/1.44, 2), "-")</f>
        <v>83.59</v>
      </c>
      <c r="O167" s="16">
        <f>IF(AND(1500&gt;=$E167, 1500&lt;=$F167), ROUND(Cp_Database_200!$F167 + Cp_Database_200!$G167*1.5 + Cp_Database_200!$H167*2.25 + Cp_Database_200!$I167*3.375 + Cp_Database_200!$J167/2.25, 2), "-")</f>
        <v>85.33</v>
      </c>
      <c r="P167" s="16" t="str">
        <f>IF(AND(2000&gt;=$E167, 2000&lt;=$F167), ROUND(Cp_Database_200!$F167 + Cp_Database_200!$G167*2 + Cp_Database_200!$H167*4 + Cp_Database_200!$I167*8 + Cp_Database_200!$J167/4, 2), "-")</f>
        <v>-</v>
      </c>
    </row>
    <row r="168" spans="1:16" ht="15" x14ac:dyDescent="0.3">
      <c r="A168" s="2">
        <f>Cp_Database_200!A168</f>
        <v>167</v>
      </c>
      <c r="B168" s="3" t="str">
        <f>Cp_Database_200!B168</f>
        <v>Copper(I) Chloride</v>
      </c>
      <c r="C168" s="4" t="str">
        <f>Cp_Database_200!C168</f>
        <v>CuCl</v>
      </c>
      <c r="D168" s="3" t="str">
        <f>Cp_Database_200!E168</f>
        <v>Halide &amp; Salt</v>
      </c>
      <c r="E168" s="6">
        <f>Cp_Database_200!K168</f>
        <v>298</v>
      </c>
      <c r="F168" s="6">
        <f>Cp_Database_200!L168</f>
        <v>703</v>
      </c>
      <c r="G168" s="15">
        <f>IF(AND(298.15&gt;=$E168, 298.15&lt;=$F168), ROUND(Cp_Database_200!$F168 + Cp_Database_200!$G168*0.29815 + Cp_Database_200!$H168*0.08889342 + Cp_Database_200!$I168*0.02650357 + Cp_Database_200!$J168/0.08889342, 2), "-")</f>
        <v>48.57</v>
      </c>
      <c r="H168" s="15">
        <f>IF(AND(400&gt;=$E168, 400&lt;=$F168), ROUND(Cp_Database_200!$F168 + Cp_Database_200!$G168*0.4 + Cp_Database_200!$H168*0.16 + Cp_Database_200!$I168*0.064 + Cp_Database_200!$J168/0.16, 2), "-")</f>
        <v>56.63</v>
      </c>
      <c r="I168" s="15">
        <f>IF(AND(500&gt;=$E168, 500&lt;=$F168), ROUND(Cp_Database_200!$F168 + Cp_Database_200!$G168*0.5 + Cp_Database_200!$H168*0.25 + Cp_Database_200!$I168*0.125 + Cp_Database_200!$J168/0.25, 2), "-")</f>
        <v>59.97</v>
      </c>
      <c r="J168" s="15">
        <f>IF(AND(600&gt;=$E168, 600&lt;=$F168), ROUND(Cp_Database_200!$F168 + Cp_Database_200!$G168*0.6 + Cp_Database_200!$H168*0.36 + Cp_Database_200!$I168*0.216 + Cp_Database_200!$J168/0.36, 2), "-")</f>
        <v>61.7</v>
      </c>
      <c r="K168" s="15">
        <f>IF(AND(700&gt;=$E168, 700&lt;=$F168), ROUND(Cp_Database_200!$F168 + Cp_Database_200!$G168*0.7 + Cp_Database_200!$H168*0.49 + Cp_Database_200!$I168*0.343 + Cp_Database_200!$J168/0.49, 2), "-")</f>
        <v>62.78</v>
      </c>
      <c r="L168" s="15" t="str">
        <f>IF(AND(800&gt;=$E168, 800&lt;=$F168), ROUND(Cp_Database_200!$F168 + Cp_Database_200!$G168*0.8 + Cp_Database_200!$H168*0.64 + Cp_Database_200!$I168*0.512 + Cp_Database_200!$J168/0.64, 2), "-")</f>
        <v>-</v>
      </c>
      <c r="M168" s="15" t="str">
        <f>IF(AND(1000&gt;=$E168, 1000&lt;=$F168), ROUND(Cp_Database_200!$F168 + Cp_Database_200!$G168*1 + Cp_Database_200!$H168*1 + Cp_Database_200!$I168*1 + Cp_Database_200!$J168/1, 2), "-")</f>
        <v>-</v>
      </c>
      <c r="N168" s="15" t="str">
        <f>IF(AND(1200&gt;=$E168, 1200&lt;=$F168), ROUND(Cp_Database_200!$F168 + Cp_Database_200!$G168*1.2 + Cp_Database_200!$H168*1.44 + Cp_Database_200!$I168*1.728 + Cp_Database_200!$J168/1.44, 2), "-")</f>
        <v>-</v>
      </c>
      <c r="O168" s="15" t="str">
        <f>IF(AND(1500&gt;=$E168, 1500&lt;=$F168), ROUND(Cp_Database_200!$F168 + Cp_Database_200!$G168*1.5 + Cp_Database_200!$H168*2.25 + Cp_Database_200!$I168*3.375 + Cp_Database_200!$J168/2.25, 2), "-")</f>
        <v>-</v>
      </c>
      <c r="P168" s="15" t="str">
        <f>IF(AND(2000&gt;=$E168, 2000&lt;=$F168), ROUND(Cp_Database_200!$F168 + Cp_Database_200!$G168*2 + Cp_Database_200!$H168*4 + Cp_Database_200!$I168*8 + Cp_Database_200!$J168/4, 2), "-")</f>
        <v>-</v>
      </c>
    </row>
    <row r="169" spans="1:16" ht="15" x14ac:dyDescent="0.3">
      <c r="A169" s="8">
        <f>Cp_Database_200!A169</f>
        <v>168</v>
      </c>
      <c r="B169" s="9" t="str">
        <f>Cp_Database_200!B169</f>
        <v>Nickel(II) Chloride</v>
      </c>
      <c r="C169" s="10" t="str">
        <f>Cp_Database_200!C169</f>
        <v>NiCl2</v>
      </c>
      <c r="D169" s="9" t="str">
        <f>Cp_Database_200!E169</f>
        <v>Halide &amp; Salt</v>
      </c>
      <c r="E169" s="12">
        <f>Cp_Database_200!K169</f>
        <v>298</v>
      </c>
      <c r="F169" s="12">
        <f>Cp_Database_200!L169</f>
        <v>1100</v>
      </c>
      <c r="G169" s="16">
        <f>IF(AND(298.15&gt;=$E169, 298.15&lt;=$F169), ROUND(Cp_Database_200!$F169 + Cp_Database_200!$G169*0.29815 + Cp_Database_200!$H169*0.08889342 + Cp_Database_200!$I169*0.02650357 + Cp_Database_200!$J169/0.08889342, 2), "-")</f>
        <v>71.63</v>
      </c>
      <c r="H169" s="16">
        <f>IF(AND(400&gt;=$E169, 400&lt;=$F169), ROUND(Cp_Database_200!$F169 + Cp_Database_200!$G169*0.4 + Cp_Database_200!$H169*0.16 + Cp_Database_200!$I169*0.064 + Cp_Database_200!$J169/0.16, 2), "-")</f>
        <v>76.44</v>
      </c>
      <c r="I169" s="16">
        <f>IF(AND(500&gt;=$E169, 500&lt;=$F169), ROUND(Cp_Database_200!$F169 + Cp_Database_200!$G169*0.5 + Cp_Database_200!$H169*0.25 + Cp_Database_200!$I169*0.125 + Cp_Database_200!$J169/0.25, 2), "-")</f>
        <v>78.73</v>
      </c>
      <c r="J169" s="16">
        <f>IF(AND(600&gt;=$E169, 600&lt;=$F169), ROUND(Cp_Database_200!$F169 + Cp_Database_200!$G169*0.6 + Cp_Database_200!$H169*0.36 + Cp_Database_200!$I169*0.216 + Cp_Database_200!$J169/0.36, 2), "-")</f>
        <v>79.83</v>
      </c>
      <c r="K169" s="16">
        <f>IF(AND(700&gt;=$E169, 700&lt;=$F169), ROUND(Cp_Database_200!$F169 + Cp_Database_200!$G169*0.7 + Cp_Database_200!$H169*0.49 + Cp_Database_200!$I169*0.343 + Cp_Database_200!$J169/0.49, 2), "-")</f>
        <v>80.41</v>
      </c>
      <c r="L169" s="16">
        <f>IF(AND(800&gt;=$E169, 800&lt;=$F169), ROUND(Cp_Database_200!$F169 + Cp_Database_200!$G169*0.8 + Cp_Database_200!$H169*0.64 + Cp_Database_200!$I169*0.512 + Cp_Database_200!$J169/0.64, 2), "-")</f>
        <v>81</v>
      </c>
      <c r="M169" s="16">
        <f>IF(AND(1000&gt;=$E169, 1000&lt;=$F169), ROUND(Cp_Database_200!$F169 + Cp_Database_200!$G169*1 + Cp_Database_200!$H169*1 + Cp_Database_200!$I169*1 + Cp_Database_200!$J169/1, 2), "-")</f>
        <v>83.95</v>
      </c>
      <c r="N169" s="16" t="str">
        <f>IF(AND(1200&gt;=$E169, 1200&lt;=$F169), ROUND(Cp_Database_200!$F169 + Cp_Database_200!$G169*1.2 + Cp_Database_200!$H169*1.44 + Cp_Database_200!$I169*1.728 + Cp_Database_200!$J169/1.44, 2), "-")</f>
        <v>-</v>
      </c>
      <c r="O169" s="16" t="str">
        <f>IF(AND(1500&gt;=$E169, 1500&lt;=$F169), ROUND(Cp_Database_200!$F169 + Cp_Database_200!$G169*1.5 + Cp_Database_200!$H169*2.25 + Cp_Database_200!$I169*3.375 + Cp_Database_200!$J169/2.25, 2), "-")</f>
        <v>-</v>
      </c>
      <c r="P169" s="16" t="str">
        <f>IF(AND(2000&gt;=$E169, 2000&lt;=$F169), ROUND(Cp_Database_200!$F169 + Cp_Database_200!$G169*2 + Cp_Database_200!$H169*4 + Cp_Database_200!$I169*8 + Cp_Database_200!$J169/4, 2), "-")</f>
        <v>-</v>
      </c>
    </row>
    <row r="170" spans="1:16" ht="15" x14ac:dyDescent="0.3">
      <c r="A170" s="2">
        <f>Cp_Database_200!A170</f>
        <v>169</v>
      </c>
      <c r="B170" s="3" t="str">
        <f>Cp_Database_200!B170</f>
        <v>Cobalt(II) Chloride</v>
      </c>
      <c r="C170" s="4" t="str">
        <f>Cp_Database_200!C170</f>
        <v>CoCl2</v>
      </c>
      <c r="D170" s="3" t="str">
        <f>Cp_Database_200!E170</f>
        <v>Halide &amp; Salt</v>
      </c>
      <c r="E170" s="6">
        <f>Cp_Database_200!K170</f>
        <v>298</v>
      </c>
      <c r="F170" s="6">
        <f>Cp_Database_200!L170</f>
        <v>1013</v>
      </c>
      <c r="G170" s="15">
        <f>IF(AND(298.15&gt;=$E170, 298.15&lt;=$F170), ROUND(Cp_Database_200!$F170 + Cp_Database_200!$G170*0.29815 + Cp_Database_200!$H170*0.08889342 + Cp_Database_200!$I170*0.02650357 + Cp_Database_200!$J170/0.08889342, 2), "-")</f>
        <v>78.510000000000005</v>
      </c>
      <c r="H170" s="15">
        <f>IF(AND(400&gt;=$E170, 400&lt;=$F170), ROUND(Cp_Database_200!$F170 + Cp_Database_200!$G170*0.4 + Cp_Database_200!$H170*0.16 + Cp_Database_200!$I170*0.064 + Cp_Database_200!$J170/0.16, 2), "-")</f>
        <v>81.58</v>
      </c>
      <c r="I170" s="15">
        <f>IF(AND(500&gt;=$E170, 500&lt;=$F170), ROUND(Cp_Database_200!$F170 + Cp_Database_200!$G170*0.5 + Cp_Database_200!$H170*0.25 + Cp_Database_200!$I170*0.125 + Cp_Database_200!$J170/0.25, 2), "-")</f>
        <v>83.43</v>
      </c>
      <c r="J170" s="15">
        <f>IF(AND(600&gt;=$E170, 600&lt;=$F170), ROUND(Cp_Database_200!$F170 + Cp_Database_200!$G170*0.6 + Cp_Database_200!$H170*0.36 + Cp_Database_200!$I170*0.216 + Cp_Database_200!$J170/0.36, 2), "-")</f>
        <v>84.78</v>
      </c>
      <c r="K170" s="15">
        <f>IF(AND(700&gt;=$E170, 700&lt;=$F170), ROUND(Cp_Database_200!$F170 + Cp_Database_200!$G170*0.7 + Cp_Database_200!$H170*0.49 + Cp_Database_200!$I170*0.343 + Cp_Database_200!$J170/0.49, 2), "-")</f>
        <v>85.86</v>
      </c>
      <c r="L170" s="15">
        <f>IF(AND(800&gt;=$E170, 800&lt;=$F170), ROUND(Cp_Database_200!$F170 + Cp_Database_200!$G170*0.8 + Cp_Database_200!$H170*0.64 + Cp_Database_200!$I170*0.512 + Cp_Database_200!$J170/0.64, 2), "-")</f>
        <v>86.76</v>
      </c>
      <c r="M170" s="15">
        <f>IF(AND(1000&gt;=$E170, 1000&lt;=$F170), ROUND(Cp_Database_200!$F170 + Cp_Database_200!$G170*1 + Cp_Database_200!$H170*1 + Cp_Database_200!$I170*1 + Cp_Database_200!$J170/1, 2), "-")</f>
        <v>88.22</v>
      </c>
      <c r="N170" s="15" t="str">
        <f>IF(AND(1200&gt;=$E170, 1200&lt;=$F170), ROUND(Cp_Database_200!$F170 + Cp_Database_200!$G170*1.2 + Cp_Database_200!$H170*1.44 + Cp_Database_200!$I170*1.728 + Cp_Database_200!$J170/1.44, 2), "-")</f>
        <v>-</v>
      </c>
      <c r="O170" s="15" t="str">
        <f>IF(AND(1500&gt;=$E170, 1500&lt;=$F170), ROUND(Cp_Database_200!$F170 + Cp_Database_200!$G170*1.5 + Cp_Database_200!$H170*2.25 + Cp_Database_200!$I170*3.375 + Cp_Database_200!$J170/2.25, 2), "-")</f>
        <v>-</v>
      </c>
      <c r="P170" s="15" t="str">
        <f>IF(AND(2000&gt;=$E170, 2000&lt;=$F170), ROUND(Cp_Database_200!$F170 + Cp_Database_200!$G170*2 + Cp_Database_200!$H170*4 + Cp_Database_200!$I170*8 + Cp_Database_200!$J170/4, 2), "-")</f>
        <v>-</v>
      </c>
    </row>
    <row r="171" spans="1:16" ht="15" x14ac:dyDescent="0.3">
      <c r="A171" s="8">
        <f>Cp_Database_200!A171</f>
        <v>170</v>
      </c>
      <c r="B171" s="9" t="str">
        <f>Cp_Database_200!B171</f>
        <v>Titanium(III) Chloride</v>
      </c>
      <c r="C171" s="10" t="str">
        <f>Cp_Database_200!C171</f>
        <v>TiCl3</v>
      </c>
      <c r="D171" s="9" t="str">
        <f>Cp_Database_200!E171</f>
        <v>Halide &amp; Salt</v>
      </c>
      <c r="E171" s="12">
        <f>Cp_Database_200!K171</f>
        <v>298</v>
      </c>
      <c r="F171" s="12">
        <f>Cp_Database_200!L171</f>
        <v>1500</v>
      </c>
      <c r="G171" s="16">
        <f>IF(AND(298.15&gt;=$E171, 298.15&lt;=$F171), ROUND(Cp_Database_200!$F171 + Cp_Database_200!$G171*0.29815 + Cp_Database_200!$H171*0.08889342 + Cp_Database_200!$I171*0.02650357 + Cp_Database_200!$J171/0.08889342, 2), "-")</f>
        <v>97.15</v>
      </c>
      <c r="H171" s="16">
        <f>IF(AND(400&gt;=$E171, 400&lt;=$F171), ROUND(Cp_Database_200!$F171 + Cp_Database_200!$G171*0.4 + Cp_Database_200!$H171*0.16 + Cp_Database_200!$I171*0.064 + Cp_Database_200!$J171/0.16, 2), "-")</f>
        <v>99.02</v>
      </c>
      <c r="I171" s="16">
        <f>IF(AND(500&gt;=$E171, 500&lt;=$F171), ROUND(Cp_Database_200!$F171 + Cp_Database_200!$G171*0.5 + Cp_Database_200!$H171*0.25 + Cp_Database_200!$I171*0.125 + Cp_Database_200!$J171/0.25, 2), "-")</f>
        <v>100.57</v>
      </c>
      <c r="J171" s="16">
        <f>IF(AND(600&gt;=$E171, 600&lt;=$F171), ROUND(Cp_Database_200!$F171 + Cp_Database_200!$G171*0.6 + Cp_Database_200!$H171*0.36 + Cp_Database_200!$I171*0.216 + Cp_Database_200!$J171/0.36, 2), "-")</f>
        <v>101.96</v>
      </c>
      <c r="K171" s="16">
        <f>IF(AND(700&gt;=$E171, 700&lt;=$F171), ROUND(Cp_Database_200!$F171 + Cp_Database_200!$G171*0.7 + Cp_Database_200!$H171*0.49 + Cp_Database_200!$I171*0.343 + Cp_Database_200!$J171/0.49, 2), "-")</f>
        <v>103.24</v>
      </c>
      <c r="L171" s="16">
        <f>IF(AND(800&gt;=$E171, 800&lt;=$F171), ROUND(Cp_Database_200!$F171 + Cp_Database_200!$G171*0.8 + Cp_Database_200!$H171*0.64 + Cp_Database_200!$I171*0.512 + Cp_Database_200!$J171/0.64, 2), "-")</f>
        <v>104.45</v>
      </c>
      <c r="M171" s="16">
        <f>IF(AND(1000&gt;=$E171, 1000&lt;=$F171), ROUND(Cp_Database_200!$F171 + Cp_Database_200!$G171*1 + Cp_Database_200!$H171*1 + Cp_Database_200!$I171*1 + Cp_Database_200!$J171/1, 2), "-")</f>
        <v>106.73</v>
      </c>
      <c r="N171" s="16">
        <f>IF(AND(1200&gt;=$E171, 1200&lt;=$F171), ROUND(Cp_Database_200!$F171 + Cp_Database_200!$G171*1.2 + Cp_Database_200!$H171*1.44 + Cp_Database_200!$I171*1.728 + Cp_Database_200!$J171/1.44, 2), "-")</f>
        <v>108.91</v>
      </c>
      <c r="O171" s="16">
        <f>IF(AND(1500&gt;=$E171, 1500&lt;=$F171), ROUND(Cp_Database_200!$F171 + Cp_Database_200!$G171*1.5 + Cp_Database_200!$H171*2.25 + Cp_Database_200!$I171*3.375 + Cp_Database_200!$J171/2.25, 2), "-")</f>
        <v>112.24</v>
      </c>
      <c r="P171" s="16" t="str">
        <f>IF(AND(2000&gt;=$E171, 2000&lt;=$F171), ROUND(Cp_Database_200!$F171 + Cp_Database_200!$G171*2 + Cp_Database_200!$H171*4 + Cp_Database_200!$I171*8 + Cp_Database_200!$J171/4, 2), "-")</f>
        <v>-</v>
      </c>
    </row>
    <row r="172" spans="1:16" ht="15" x14ac:dyDescent="0.3">
      <c r="A172" s="2">
        <f>Cp_Database_200!A172</f>
        <v>171</v>
      </c>
      <c r="B172" s="3" t="str">
        <f>Cp_Database_200!B172</f>
        <v>Titanium(II) Chloride</v>
      </c>
      <c r="C172" s="4" t="str">
        <f>Cp_Database_200!C172</f>
        <v>TiCl2</v>
      </c>
      <c r="D172" s="3" t="str">
        <f>Cp_Database_200!E172</f>
        <v>Halide &amp; Salt</v>
      </c>
      <c r="E172" s="6">
        <f>Cp_Database_200!K172</f>
        <v>298</v>
      </c>
      <c r="F172" s="6">
        <f>Cp_Database_200!L172</f>
        <v>2000</v>
      </c>
      <c r="G172" s="15">
        <f>IF(AND(298.15&gt;=$E172, 298.15&lt;=$F172), ROUND(Cp_Database_200!$F172 + Cp_Database_200!$G172*0.29815 + Cp_Database_200!$H172*0.08889342 + Cp_Database_200!$I172*0.02650357 + Cp_Database_200!$J172/0.08889342, 2), "-")</f>
        <v>69.790000000000006</v>
      </c>
      <c r="H172" s="15">
        <f>IF(AND(400&gt;=$E172, 400&lt;=$F172), ROUND(Cp_Database_200!$F172 + Cp_Database_200!$G172*0.4 + Cp_Database_200!$H172*0.16 + Cp_Database_200!$I172*0.064 + Cp_Database_200!$J172/0.16, 2), "-")</f>
        <v>73.64</v>
      </c>
      <c r="I172" s="15">
        <f>IF(AND(500&gt;=$E172, 500&lt;=$F172), ROUND(Cp_Database_200!$F172 + Cp_Database_200!$G172*0.5 + Cp_Database_200!$H172*0.25 + Cp_Database_200!$I172*0.125 + Cp_Database_200!$J172/0.25, 2), "-")</f>
        <v>76.209999999999994</v>
      </c>
      <c r="J172" s="15">
        <f>IF(AND(600&gt;=$E172, 600&lt;=$F172), ROUND(Cp_Database_200!$F172 + Cp_Database_200!$G172*0.6 + Cp_Database_200!$H172*0.36 + Cp_Database_200!$I172*0.216 + Cp_Database_200!$J172/0.36, 2), "-")</f>
        <v>78.349999999999994</v>
      </c>
      <c r="K172" s="15">
        <f>IF(AND(700&gt;=$E172, 700&lt;=$F172), ROUND(Cp_Database_200!$F172 + Cp_Database_200!$G172*0.7 + Cp_Database_200!$H172*0.49 + Cp_Database_200!$I172*0.343 + Cp_Database_200!$J172/0.49, 2), "-")</f>
        <v>80.319999999999993</v>
      </c>
      <c r="L172" s="15">
        <f>IF(AND(800&gt;=$E172, 800&lt;=$F172), ROUND(Cp_Database_200!$F172 + Cp_Database_200!$G172*0.8 + Cp_Database_200!$H172*0.64 + Cp_Database_200!$I172*0.512 + Cp_Database_200!$J172/0.64, 2), "-")</f>
        <v>82.22</v>
      </c>
      <c r="M172" s="15">
        <f>IF(AND(1000&gt;=$E172, 1000&lt;=$F172), ROUND(Cp_Database_200!$F172 + Cp_Database_200!$G172*1 + Cp_Database_200!$H172*1 + Cp_Database_200!$I172*1 + Cp_Database_200!$J172/1, 2), "-")</f>
        <v>85.95</v>
      </c>
      <c r="N172" s="15">
        <f>IF(AND(1200&gt;=$E172, 1200&lt;=$F172), ROUND(Cp_Database_200!$F172 + Cp_Database_200!$G172*1.2 + Cp_Database_200!$H172*1.44 + Cp_Database_200!$I172*1.728 + Cp_Database_200!$J172/1.44, 2), "-")</f>
        <v>89.7</v>
      </c>
      <c r="O172" s="15">
        <f>IF(AND(1500&gt;=$E172, 1500&lt;=$F172), ROUND(Cp_Database_200!$F172 + Cp_Database_200!$G172*1.5 + Cp_Database_200!$H172*2.25 + Cp_Database_200!$I172*3.375 + Cp_Database_200!$J172/2.25, 2), "-")</f>
        <v>95.39</v>
      </c>
      <c r="P172" s="15">
        <f>IF(AND(2000&gt;=$E172, 2000&lt;=$F172), ROUND(Cp_Database_200!$F172 + Cp_Database_200!$G172*2 + Cp_Database_200!$H172*4 + Cp_Database_200!$I172*8 + Cp_Database_200!$J172/4, 2), "-")</f>
        <v>104.83</v>
      </c>
    </row>
    <row r="173" spans="1:16" ht="15" x14ac:dyDescent="0.3">
      <c r="A173" s="8">
        <f>Cp_Database_200!A173</f>
        <v>172</v>
      </c>
      <c r="B173" s="9" t="str">
        <f>Cp_Database_200!B173</f>
        <v>Zirconium Tetrachloride</v>
      </c>
      <c r="C173" s="10" t="str">
        <f>Cp_Database_200!C173</f>
        <v>ZrCl4</v>
      </c>
      <c r="D173" s="9" t="str">
        <f>Cp_Database_200!E173</f>
        <v>Halide &amp; Salt</v>
      </c>
      <c r="E173" s="12">
        <f>Cp_Database_200!K173</f>
        <v>298</v>
      </c>
      <c r="F173" s="12">
        <f>Cp_Database_200!L173</f>
        <v>1000</v>
      </c>
      <c r="G173" s="16">
        <f>IF(AND(298.15&gt;=$E173, 298.15&lt;=$F173), ROUND(Cp_Database_200!$F173 + Cp_Database_200!$G173*0.29815 + Cp_Database_200!$H173*0.08889342 + Cp_Database_200!$I173*0.02650357 + Cp_Database_200!$J173/0.08889342, 2), "-")</f>
        <v>119.78</v>
      </c>
      <c r="H173" s="16">
        <f>IF(AND(400&gt;=$E173, 400&lt;=$F173), ROUND(Cp_Database_200!$F173 + Cp_Database_200!$G173*0.4 + Cp_Database_200!$H173*0.16 + Cp_Database_200!$I173*0.064 + Cp_Database_200!$J173/0.16, 2), "-")</f>
        <v>125.4</v>
      </c>
      <c r="I173" s="16">
        <f>IF(AND(500&gt;=$E173, 500&lt;=$F173), ROUND(Cp_Database_200!$F173 + Cp_Database_200!$G173*0.5 + Cp_Database_200!$H173*0.25 + Cp_Database_200!$I173*0.125 + Cp_Database_200!$J173/0.25, 2), "-")</f>
        <v>128.69</v>
      </c>
      <c r="J173" s="16">
        <f>IF(AND(600&gt;=$E173, 600&lt;=$F173), ROUND(Cp_Database_200!$F173 + Cp_Database_200!$G173*0.6 + Cp_Database_200!$H173*0.36 + Cp_Database_200!$I173*0.216 + Cp_Database_200!$J173/0.36, 2), "-")</f>
        <v>131.12</v>
      </c>
      <c r="K173" s="16">
        <f>IF(AND(700&gt;=$E173, 700&lt;=$F173), ROUND(Cp_Database_200!$F173 + Cp_Database_200!$G173*0.7 + Cp_Database_200!$H173*0.49 + Cp_Database_200!$I173*0.343 + Cp_Database_200!$J173/0.49, 2), "-")</f>
        <v>133.15</v>
      </c>
      <c r="L173" s="16">
        <f>IF(AND(800&gt;=$E173, 800&lt;=$F173), ROUND(Cp_Database_200!$F173 + Cp_Database_200!$G173*0.8 + Cp_Database_200!$H173*0.64 + Cp_Database_200!$I173*0.512 + Cp_Database_200!$J173/0.64, 2), "-")</f>
        <v>134.97</v>
      </c>
      <c r="M173" s="16">
        <f>IF(AND(1000&gt;=$E173, 1000&lt;=$F173), ROUND(Cp_Database_200!$F173 + Cp_Database_200!$G173*1 + Cp_Database_200!$H173*1 + Cp_Database_200!$I173*1 + Cp_Database_200!$J173/1, 2), "-")</f>
        <v>138.24</v>
      </c>
      <c r="N173" s="16" t="str">
        <f>IF(AND(1200&gt;=$E173, 1200&lt;=$F173), ROUND(Cp_Database_200!$F173 + Cp_Database_200!$G173*1.2 + Cp_Database_200!$H173*1.44 + Cp_Database_200!$I173*1.728 + Cp_Database_200!$J173/1.44, 2), "-")</f>
        <v>-</v>
      </c>
      <c r="O173" s="16" t="str">
        <f>IF(AND(1500&gt;=$E173, 1500&lt;=$F173), ROUND(Cp_Database_200!$F173 + Cp_Database_200!$G173*1.5 + Cp_Database_200!$H173*2.25 + Cp_Database_200!$I173*3.375 + Cp_Database_200!$J173/2.25, 2), "-")</f>
        <v>-</v>
      </c>
      <c r="P173" s="16" t="str">
        <f>IF(AND(2000&gt;=$E173, 2000&lt;=$F173), ROUND(Cp_Database_200!$F173 + Cp_Database_200!$G173*2 + Cp_Database_200!$H173*4 + Cp_Database_200!$I173*8 + Cp_Database_200!$J173/4, 2), "-")</f>
        <v>-</v>
      </c>
    </row>
    <row r="174" spans="1:16" ht="15" x14ac:dyDescent="0.3">
      <c r="A174" s="2">
        <f>Cp_Database_200!A174</f>
        <v>173</v>
      </c>
      <c r="B174" s="3" t="str">
        <f>Cp_Database_200!B174</f>
        <v>Niobium Pentachloride</v>
      </c>
      <c r="C174" s="4" t="str">
        <f>Cp_Database_200!C174</f>
        <v>NbCl5</v>
      </c>
      <c r="D174" s="3" t="str">
        <f>Cp_Database_200!E174</f>
        <v>Halide &amp; Salt</v>
      </c>
      <c r="E174" s="6">
        <f>Cp_Database_200!K174</f>
        <v>298</v>
      </c>
      <c r="F174" s="6">
        <f>Cp_Database_200!L174</f>
        <v>478.9</v>
      </c>
      <c r="G174" s="15">
        <f>IF(AND(298.15&gt;=$E174, 298.15&lt;=$F174), ROUND(Cp_Database_200!$F174 + Cp_Database_200!$G174*0.29815 + Cp_Database_200!$H174*0.08889342 + Cp_Database_200!$I174*0.02650357 + Cp_Database_200!$J174/0.08889342, 2), "-")</f>
        <v>147.9</v>
      </c>
      <c r="H174" s="15">
        <f>IF(AND(400&gt;=$E174, 400&lt;=$F174), ROUND(Cp_Database_200!$F174 + Cp_Database_200!$G174*0.4 + Cp_Database_200!$H174*0.16 + Cp_Database_200!$I174*0.064 + Cp_Database_200!$J174/0.16, 2), "-")</f>
        <v>147.9</v>
      </c>
      <c r="I174" s="15" t="str">
        <f>IF(AND(500&gt;=$E174, 500&lt;=$F174), ROUND(Cp_Database_200!$F174 + Cp_Database_200!$G174*0.5 + Cp_Database_200!$H174*0.25 + Cp_Database_200!$I174*0.125 + Cp_Database_200!$J174/0.25, 2), "-")</f>
        <v>-</v>
      </c>
      <c r="J174" s="15" t="str">
        <f>IF(AND(600&gt;=$E174, 600&lt;=$F174), ROUND(Cp_Database_200!$F174 + Cp_Database_200!$G174*0.6 + Cp_Database_200!$H174*0.36 + Cp_Database_200!$I174*0.216 + Cp_Database_200!$J174/0.36, 2), "-")</f>
        <v>-</v>
      </c>
      <c r="K174" s="15" t="str">
        <f>IF(AND(700&gt;=$E174, 700&lt;=$F174), ROUND(Cp_Database_200!$F174 + Cp_Database_200!$G174*0.7 + Cp_Database_200!$H174*0.49 + Cp_Database_200!$I174*0.343 + Cp_Database_200!$J174/0.49, 2), "-")</f>
        <v>-</v>
      </c>
      <c r="L174" s="15" t="str">
        <f>IF(AND(800&gt;=$E174, 800&lt;=$F174), ROUND(Cp_Database_200!$F174 + Cp_Database_200!$G174*0.8 + Cp_Database_200!$H174*0.64 + Cp_Database_200!$I174*0.512 + Cp_Database_200!$J174/0.64, 2), "-")</f>
        <v>-</v>
      </c>
      <c r="M174" s="15" t="str">
        <f>IF(AND(1000&gt;=$E174, 1000&lt;=$F174), ROUND(Cp_Database_200!$F174 + Cp_Database_200!$G174*1 + Cp_Database_200!$H174*1 + Cp_Database_200!$I174*1 + Cp_Database_200!$J174/1, 2), "-")</f>
        <v>-</v>
      </c>
      <c r="N174" s="15" t="str">
        <f>IF(AND(1200&gt;=$E174, 1200&lt;=$F174), ROUND(Cp_Database_200!$F174 + Cp_Database_200!$G174*1.2 + Cp_Database_200!$H174*1.44 + Cp_Database_200!$I174*1.728 + Cp_Database_200!$J174/1.44, 2), "-")</f>
        <v>-</v>
      </c>
      <c r="O174" s="15" t="str">
        <f>IF(AND(1500&gt;=$E174, 1500&lt;=$F174), ROUND(Cp_Database_200!$F174 + Cp_Database_200!$G174*1.5 + Cp_Database_200!$H174*2.25 + Cp_Database_200!$I174*3.375 + Cp_Database_200!$J174/2.25, 2), "-")</f>
        <v>-</v>
      </c>
      <c r="P174" s="15" t="str">
        <f>IF(AND(2000&gt;=$E174, 2000&lt;=$F174), ROUND(Cp_Database_200!$F174 + Cp_Database_200!$G174*2 + Cp_Database_200!$H174*4 + Cp_Database_200!$I174*8 + Cp_Database_200!$J174/4, 2), "-")</f>
        <v>-</v>
      </c>
    </row>
    <row r="175" spans="1:16" ht="15" x14ac:dyDescent="0.3">
      <c r="A175" s="8">
        <f>Cp_Database_200!A175</f>
        <v>174</v>
      </c>
      <c r="B175" s="9" t="str">
        <f>Cp_Database_200!B175</f>
        <v>Tantalum Pentachloride</v>
      </c>
      <c r="C175" s="10" t="str">
        <f>Cp_Database_200!C175</f>
        <v>TaCl5</v>
      </c>
      <c r="D175" s="9" t="str">
        <f>Cp_Database_200!E175</f>
        <v>Halide &amp; Salt</v>
      </c>
      <c r="E175" s="12">
        <f>Cp_Database_200!K175</f>
        <v>298</v>
      </c>
      <c r="F175" s="12">
        <f>Cp_Database_200!L175</f>
        <v>489.7</v>
      </c>
      <c r="G175" s="16">
        <f>IF(AND(298.15&gt;=$E175, 298.15&lt;=$F175), ROUND(Cp_Database_200!$F175 + Cp_Database_200!$G175*0.29815 + Cp_Database_200!$H175*0.08889342 + Cp_Database_200!$I175*0.02650357 + Cp_Database_200!$J175/0.08889342, 2), "-")</f>
        <v>147.9</v>
      </c>
      <c r="H175" s="16">
        <f>IF(AND(400&gt;=$E175, 400&lt;=$F175), ROUND(Cp_Database_200!$F175 + Cp_Database_200!$G175*0.4 + Cp_Database_200!$H175*0.16 + Cp_Database_200!$I175*0.064 + Cp_Database_200!$J175/0.16, 2), "-")</f>
        <v>147.9</v>
      </c>
      <c r="I175" s="16" t="str">
        <f>IF(AND(500&gt;=$E175, 500&lt;=$F175), ROUND(Cp_Database_200!$F175 + Cp_Database_200!$G175*0.5 + Cp_Database_200!$H175*0.25 + Cp_Database_200!$I175*0.125 + Cp_Database_200!$J175/0.25, 2), "-")</f>
        <v>-</v>
      </c>
      <c r="J175" s="16" t="str">
        <f>IF(AND(600&gt;=$E175, 600&lt;=$F175), ROUND(Cp_Database_200!$F175 + Cp_Database_200!$G175*0.6 + Cp_Database_200!$H175*0.36 + Cp_Database_200!$I175*0.216 + Cp_Database_200!$J175/0.36, 2), "-")</f>
        <v>-</v>
      </c>
      <c r="K175" s="16" t="str">
        <f>IF(AND(700&gt;=$E175, 700&lt;=$F175), ROUND(Cp_Database_200!$F175 + Cp_Database_200!$G175*0.7 + Cp_Database_200!$H175*0.49 + Cp_Database_200!$I175*0.343 + Cp_Database_200!$J175/0.49, 2), "-")</f>
        <v>-</v>
      </c>
      <c r="L175" s="16" t="str">
        <f>IF(AND(800&gt;=$E175, 800&lt;=$F175), ROUND(Cp_Database_200!$F175 + Cp_Database_200!$G175*0.8 + Cp_Database_200!$H175*0.64 + Cp_Database_200!$I175*0.512 + Cp_Database_200!$J175/0.64, 2), "-")</f>
        <v>-</v>
      </c>
      <c r="M175" s="16" t="str">
        <f>IF(AND(1000&gt;=$E175, 1000&lt;=$F175), ROUND(Cp_Database_200!$F175 + Cp_Database_200!$G175*1 + Cp_Database_200!$H175*1 + Cp_Database_200!$I175*1 + Cp_Database_200!$J175/1, 2), "-")</f>
        <v>-</v>
      </c>
      <c r="N175" s="16" t="str">
        <f>IF(AND(1200&gt;=$E175, 1200&lt;=$F175), ROUND(Cp_Database_200!$F175 + Cp_Database_200!$G175*1.2 + Cp_Database_200!$H175*1.44 + Cp_Database_200!$I175*1.728 + Cp_Database_200!$J175/1.44, 2), "-")</f>
        <v>-</v>
      </c>
      <c r="O175" s="16" t="str">
        <f>IF(AND(1500&gt;=$E175, 1500&lt;=$F175), ROUND(Cp_Database_200!$F175 + Cp_Database_200!$G175*1.5 + Cp_Database_200!$H175*2.25 + Cp_Database_200!$I175*3.375 + Cp_Database_200!$J175/2.25, 2), "-")</f>
        <v>-</v>
      </c>
      <c r="P175" s="16" t="str">
        <f>IF(AND(2000&gt;=$E175, 2000&lt;=$F175), ROUND(Cp_Database_200!$F175 + Cp_Database_200!$G175*2 + Cp_Database_200!$H175*4 + Cp_Database_200!$I175*8 + Cp_Database_200!$J175/4, 2), "-")</f>
        <v>-</v>
      </c>
    </row>
    <row r="176" spans="1:16" ht="15" x14ac:dyDescent="0.3">
      <c r="A176" s="2">
        <f>Cp_Database_200!A176</f>
        <v>175</v>
      </c>
      <c r="B176" s="3" t="str">
        <f>Cp_Database_200!B176</f>
        <v>Molybdenum Pentachloride</v>
      </c>
      <c r="C176" s="4" t="str">
        <f>Cp_Database_200!C176</f>
        <v>MoCl5</v>
      </c>
      <c r="D176" s="3" t="str">
        <f>Cp_Database_200!E176</f>
        <v>Halide &amp; Salt</v>
      </c>
      <c r="E176" s="6">
        <f>Cp_Database_200!K176</f>
        <v>298</v>
      </c>
      <c r="F176" s="6">
        <f>Cp_Database_200!L176</f>
        <v>467</v>
      </c>
      <c r="G176" s="15">
        <f>IF(AND(298.15&gt;=$E176, 298.15&lt;=$F176), ROUND(Cp_Database_200!$F176 + Cp_Database_200!$G176*0.29815 + Cp_Database_200!$H176*0.08889342 + Cp_Database_200!$I176*0.02650357 + Cp_Database_200!$J176/0.08889342, 2), "-")</f>
        <v>155.63999999999999</v>
      </c>
      <c r="H176" s="15">
        <f>IF(AND(400&gt;=$E176, 400&lt;=$F176), ROUND(Cp_Database_200!$F176 + Cp_Database_200!$G176*0.4 + Cp_Database_200!$H176*0.16 + Cp_Database_200!$I176*0.064 + Cp_Database_200!$J176/0.16, 2), "-")</f>
        <v>166.95</v>
      </c>
      <c r="I176" s="15" t="str">
        <f>IF(AND(500&gt;=$E176, 500&lt;=$F176), ROUND(Cp_Database_200!$F176 + Cp_Database_200!$G176*0.5 + Cp_Database_200!$H176*0.25 + Cp_Database_200!$I176*0.125 + Cp_Database_200!$J176/0.25, 2), "-")</f>
        <v>-</v>
      </c>
      <c r="J176" s="15" t="str">
        <f>IF(AND(600&gt;=$E176, 600&lt;=$F176), ROUND(Cp_Database_200!$F176 + Cp_Database_200!$G176*0.6 + Cp_Database_200!$H176*0.36 + Cp_Database_200!$I176*0.216 + Cp_Database_200!$J176/0.36, 2), "-")</f>
        <v>-</v>
      </c>
      <c r="K176" s="15" t="str">
        <f>IF(AND(700&gt;=$E176, 700&lt;=$F176), ROUND(Cp_Database_200!$F176 + Cp_Database_200!$G176*0.7 + Cp_Database_200!$H176*0.49 + Cp_Database_200!$I176*0.343 + Cp_Database_200!$J176/0.49, 2), "-")</f>
        <v>-</v>
      </c>
      <c r="L176" s="15" t="str">
        <f>IF(AND(800&gt;=$E176, 800&lt;=$F176), ROUND(Cp_Database_200!$F176 + Cp_Database_200!$G176*0.8 + Cp_Database_200!$H176*0.64 + Cp_Database_200!$I176*0.512 + Cp_Database_200!$J176/0.64, 2), "-")</f>
        <v>-</v>
      </c>
      <c r="M176" s="15" t="str">
        <f>IF(AND(1000&gt;=$E176, 1000&lt;=$F176), ROUND(Cp_Database_200!$F176 + Cp_Database_200!$G176*1 + Cp_Database_200!$H176*1 + Cp_Database_200!$I176*1 + Cp_Database_200!$J176/1, 2), "-")</f>
        <v>-</v>
      </c>
      <c r="N176" s="15" t="str">
        <f>IF(AND(1200&gt;=$E176, 1200&lt;=$F176), ROUND(Cp_Database_200!$F176 + Cp_Database_200!$G176*1.2 + Cp_Database_200!$H176*1.44 + Cp_Database_200!$I176*1.728 + Cp_Database_200!$J176/1.44, 2), "-")</f>
        <v>-</v>
      </c>
      <c r="O176" s="15" t="str">
        <f>IF(AND(1500&gt;=$E176, 1500&lt;=$F176), ROUND(Cp_Database_200!$F176 + Cp_Database_200!$G176*1.5 + Cp_Database_200!$H176*2.25 + Cp_Database_200!$I176*3.375 + Cp_Database_200!$J176/2.25, 2), "-")</f>
        <v>-</v>
      </c>
      <c r="P176" s="15" t="str">
        <f>IF(AND(2000&gt;=$E176, 2000&lt;=$F176), ROUND(Cp_Database_200!$F176 + Cp_Database_200!$G176*2 + Cp_Database_200!$H176*4 + Cp_Database_200!$I176*8 + Cp_Database_200!$J176/4, 2), "-")</f>
        <v>-</v>
      </c>
    </row>
    <row r="177" spans="1:16" ht="15" x14ac:dyDescent="0.3">
      <c r="A177" s="8">
        <f>Cp_Database_200!A177</f>
        <v>176</v>
      </c>
      <c r="B177" s="9" t="str">
        <f>Cp_Database_200!B177</f>
        <v>Tungsten Hexachloride</v>
      </c>
      <c r="C177" s="10" t="str">
        <f>Cp_Database_200!C177</f>
        <v>WCl6</v>
      </c>
      <c r="D177" s="9" t="str">
        <f>Cp_Database_200!E177</f>
        <v>Halide &amp; Salt</v>
      </c>
      <c r="E177" s="12">
        <f>Cp_Database_200!K177</f>
        <v>298</v>
      </c>
      <c r="F177" s="12">
        <f>Cp_Database_200!L177</f>
        <v>450</v>
      </c>
      <c r="G177" s="16">
        <f>IF(AND(298.15&gt;=$E177, 298.15&lt;=$F177), ROUND(Cp_Database_200!$F177 + Cp_Database_200!$G177*0.29815 + Cp_Database_200!$H177*0.08889342 + Cp_Database_200!$I177*0.02650357 + Cp_Database_200!$J177/0.08889342, 2), "-")</f>
        <v>175.42</v>
      </c>
      <c r="H177" s="16">
        <f>IF(AND(400&gt;=$E177, 400&lt;=$F177), ROUND(Cp_Database_200!$F177 + Cp_Database_200!$G177*0.4 + Cp_Database_200!$H177*0.16 + Cp_Database_200!$I177*0.064 + Cp_Database_200!$J177/0.16, 2), "-")</f>
        <v>192.46</v>
      </c>
      <c r="I177" s="16" t="str">
        <f>IF(AND(500&gt;=$E177, 500&lt;=$F177), ROUND(Cp_Database_200!$F177 + Cp_Database_200!$G177*0.5 + Cp_Database_200!$H177*0.25 + Cp_Database_200!$I177*0.125 + Cp_Database_200!$J177/0.25, 2), "-")</f>
        <v>-</v>
      </c>
      <c r="J177" s="16" t="str">
        <f>IF(AND(600&gt;=$E177, 600&lt;=$F177), ROUND(Cp_Database_200!$F177 + Cp_Database_200!$G177*0.6 + Cp_Database_200!$H177*0.36 + Cp_Database_200!$I177*0.216 + Cp_Database_200!$J177/0.36, 2), "-")</f>
        <v>-</v>
      </c>
      <c r="K177" s="16" t="str">
        <f>IF(AND(700&gt;=$E177, 700&lt;=$F177), ROUND(Cp_Database_200!$F177 + Cp_Database_200!$G177*0.7 + Cp_Database_200!$H177*0.49 + Cp_Database_200!$I177*0.343 + Cp_Database_200!$J177/0.49, 2), "-")</f>
        <v>-</v>
      </c>
      <c r="L177" s="16" t="str">
        <f>IF(AND(800&gt;=$E177, 800&lt;=$F177), ROUND(Cp_Database_200!$F177 + Cp_Database_200!$G177*0.8 + Cp_Database_200!$H177*0.64 + Cp_Database_200!$I177*0.512 + Cp_Database_200!$J177/0.64, 2), "-")</f>
        <v>-</v>
      </c>
      <c r="M177" s="16" t="str">
        <f>IF(AND(1000&gt;=$E177, 1000&lt;=$F177), ROUND(Cp_Database_200!$F177 + Cp_Database_200!$G177*1 + Cp_Database_200!$H177*1 + Cp_Database_200!$I177*1 + Cp_Database_200!$J177/1, 2), "-")</f>
        <v>-</v>
      </c>
      <c r="N177" s="16" t="str">
        <f>IF(AND(1200&gt;=$E177, 1200&lt;=$F177), ROUND(Cp_Database_200!$F177 + Cp_Database_200!$G177*1.2 + Cp_Database_200!$H177*1.44 + Cp_Database_200!$I177*1.728 + Cp_Database_200!$J177/1.44, 2), "-")</f>
        <v>-</v>
      </c>
      <c r="O177" s="16" t="str">
        <f>IF(AND(1500&gt;=$E177, 1500&lt;=$F177), ROUND(Cp_Database_200!$F177 + Cp_Database_200!$G177*1.5 + Cp_Database_200!$H177*2.25 + Cp_Database_200!$I177*3.375 + Cp_Database_200!$J177/2.25, 2), "-")</f>
        <v>-</v>
      </c>
      <c r="P177" s="16" t="str">
        <f>IF(AND(2000&gt;=$E177, 2000&lt;=$F177), ROUND(Cp_Database_200!$F177 + Cp_Database_200!$G177*2 + Cp_Database_200!$H177*4 + Cp_Database_200!$I177*8 + Cp_Database_200!$J177/4, 2), "-")</f>
        <v>-</v>
      </c>
    </row>
    <row r="178" spans="1:16" ht="15" x14ac:dyDescent="0.3">
      <c r="A178" s="2">
        <f>Cp_Database_200!A178</f>
        <v>177</v>
      </c>
      <c r="B178" s="3" t="str">
        <f>Cp_Database_200!B178</f>
        <v>Beryllium Fluoride</v>
      </c>
      <c r="C178" s="4" t="str">
        <f>Cp_Database_200!C178</f>
        <v>BeF2</v>
      </c>
      <c r="D178" s="3" t="str">
        <f>Cp_Database_200!E178</f>
        <v>Halide &amp; Salt</v>
      </c>
      <c r="E178" s="6">
        <f>Cp_Database_200!K178</f>
        <v>298</v>
      </c>
      <c r="F178" s="6">
        <f>Cp_Database_200!L178</f>
        <v>500</v>
      </c>
      <c r="G178" s="15">
        <f>IF(AND(298.15&gt;=$E178, 298.15&lt;=$F178), ROUND(Cp_Database_200!$F178 + Cp_Database_200!$G178*0.29815 + Cp_Database_200!$H178*0.08889342 + Cp_Database_200!$I178*0.02650357 + Cp_Database_200!$J178/0.08889342, 2), "-")</f>
        <v>51.82</v>
      </c>
      <c r="H178" s="15">
        <f>IF(AND(400&gt;=$E178, 400&lt;=$F178), ROUND(Cp_Database_200!$F178 + Cp_Database_200!$G178*0.4 + Cp_Database_200!$H178*0.16 + Cp_Database_200!$I178*0.064 + Cp_Database_200!$J178/0.16, 2), "-")</f>
        <v>62.52</v>
      </c>
      <c r="I178" s="15">
        <f>IF(AND(500&gt;=$E178, 500&lt;=$F178), ROUND(Cp_Database_200!$F178 + Cp_Database_200!$G178*0.5 + Cp_Database_200!$H178*0.25 + Cp_Database_200!$I178*0.125 + Cp_Database_200!$J178/0.25, 2), "-")</f>
        <v>76.05</v>
      </c>
      <c r="J178" s="15" t="str">
        <f>IF(AND(600&gt;=$E178, 600&lt;=$F178), ROUND(Cp_Database_200!$F178 + Cp_Database_200!$G178*0.6 + Cp_Database_200!$H178*0.36 + Cp_Database_200!$I178*0.216 + Cp_Database_200!$J178/0.36, 2), "-")</f>
        <v>-</v>
      </c>
      <c r="K178" s="15" t="str">
        <f>IF(AND(700&gt;=$E178, 700&lt;=$F178), ROUND(Cp_Database_200!$F178 + Cp_Database_200!$G178*0.7 + Cp_Database_200!$H178*0.49 + Cp_Database_200!$I178*0.343 + Cp_Database_200!$J178/0.49, 2), "-")</f>
        <v>-</v>
      </c>
      <c r="L178" s="15" t="str">
        <f>IF(AND(800&gt;=$E178, 800&lt;=$F178), ROUND(Cp_Database_200!$F178 + Cp_Database_200!$G178*0.8 + Cp_Database_200!$H178*0.64 + Cp_Database_200!$I178*0.512 + Cp_Database_200!$J178/0.64, 2), "-")</f>
        <v>-</v>
      </c>
      <c r="M178" s="15" t="str">
        <f>IF(AND(1000&gt;=$E178, 1000&lt;=$F178), ROUND(Cp_Database_200!$F178 + Cp_Database_200!$G178*1 + Cp_Database_200!$H178*1 + Cp_Database_200!$I178*1 + Cp_Database_200!$J178/1, 2), "-")</f>
        <v>-</v>
      </c>
      <c r="N178" s="15" t="str">
        <f>IF(AND(1200&gt;=$E178, 1200&lt;=$F178), ROUND(Cp_Database_200!$F178 + Cp_Database_200!$G178*1.2 + Cp_Database_200!$H178*1.44 + Cp_Database_200!$I178*1.728 + Cp_Database_200!$J178/1.44, 2), "-")</f>
        <v>-</v>
      </c>
      <c r="O178" s="15" t="str">
        <f>IF(AND(1500&gt;=$E178, 1500&lt;=$F178), ROUND(Cp_Database_200!$F178 + Cp_Database_200!$G178*1.5 + Cp_Database_200!$H178*2.25 + Cp_Database_200!$I178*3.375 + Cp_Database_200!$J178/2.25, 2), "-")</f>
        <v>-</v>
      </c>
      <c r="P178" s="15" t="str">
        <f>IF(AND(2000&gt;=$E178, 2000&lt;=$F178), ROUND(Cp_Database_200!$F178 + Cp_Database_200!$G178*2 + Cp_Database_200!$H178*4 + Cp_Database_200!$I178*8 + Cp_Database_200!$J178/4, 2), "-")</f>
        <v>-</v>
      </c>
    </row>
    <row r="179" spans="1:16" ht="15" x14ac:dyDescent="0.3">
      <c r="A179" s="8">
        <f>Cp_Database_200!A179</f>
        <v>178</v>
      </c>
      <c r="B179" s="9" t="str">
        <f>Cp_Database_200!B179</f>
        <v>Beryllium Chloride</v>
      </c>
      <c r="C179" s="10" t="str">
        <f>Cp_Database_200!C179</f>
        <v>BeCl2</v>
      </c>
      <c r="D179" s="9" t="str">
        <f>Cp_Database_200!E179</f>
        <v>Halide &amp; Salt</v>
      </c>
      <c r="E179" s="12">
        <f>Cp_Database_200!K179</f>
        <v>298</v>
      </c>
      <c r="F179" s="12">
        <f>Cp_Database_200!L179</f>
        <v>688</v>
      </c>
      <c r="G179" s="16">
        <f>IF(AND(298.15&gt;=$E179, 298.15&lt;=$F179), ROUND(Cp_Database_200!$F179 + Cp_Database_200!$G179*0.29815 + Cp_Database_200!$H179*0.08889342 + Cp_Database_200!$I179*0.02650357 + Cp_Database_200!$J179/0.08889342, 2), "-")</f>
        <v>62.43</v>
      </c>
      <c r="H179" s="16">
        <f>IF(AND(400&gt;=$E179, 400&lt;=$F179), ROUND(Cp_Database_200!$F179 + Cp_Database_200!$G179*0.4 + Cp_Database_200!$H179*0.16 + Cp_Database_200!$I179*0.064 + Cp_Database_200!$J179/0.16, 2), "-")</f>
        <v>68.73</v>
      </c>
      <c r="I179" s="16">
        <f>IF(AND(500&gt;=$E179, 500&lt;=$F179), ROUND(Cp_Database_200!$F179 + Cp_Database_200!$G179*0.5 + Cp_Database_200!$H179*0.25 + Cp_Database_200!$I179*0.125 + Cp_Database_200!$J179/0.25, 2), "-")</f>
        <v>72.790000000000006</v>
      </c>
      <c r="J179" s="16">
        <f>IF(AND(600&gt;=$E179, 600&lt;=$F179), ROUND(Cp_Database_200!$F179 + Cp_Database_200!$G179*0.6 + Cp_Database_200!$H179*0.36 + Cp_Database_200!$I179*0.216 + Cp_Database_200!$J179/0.36, 2), "-")</f>
        <v>75.8</v>
      </c>
      <c r="K179" s="16" t="str">
        <f>IF(AND(700&gt;=$E179, 700&lt;=$F179), ROUND(Cp_Database_200!$F179 + Cp_Database_200!$G179*0.7 + Cp_Database_200!$H179*0.49 + Cp_Database_200!$I179*0.343 + Cp_Database_200!$J179/0.49, 2), "-")</f>
        <v>-</v>
      </c>
      <c r="L179" s="16" t="str">
        <f>IF(AND(800&gt;=$E179, 800&lt;=$F179), ROUND(Cp_Database_200!$F179 + Cp_Database_200!$G179*0.8 + Cp_Database_200!$H179*0.64 + Cp_Database_200!$I179*0.512 + Cp_Database_200!$J179/0.64, 2), "-")</f>
        <v>-</v>
      </c>
      <c r="M179" s="16" t="str">
        <f>IF(AND(1000&gt;=$E179, 1000&lt;=$F179), ROUND(Cp_Database_200!$F179 + Cp_Database_200!$G179*1 + Cp_Database_200!$H179*1 + Cp_Database_200!$I179*1 + Cp_Database_200!$J179/1, 2), "-")</f>
        <v>-</v>
      </c>
      <c r="N179" s="16" t="str">
        <f>IF(AND(1200&gt;=$E179, 1200&lt;=$F179), ROUND(Cp_Database_200!$F179 + Cp_Database_200!$G179*1.2 + Cp_Database_200!$H179*1.44 + Cp_Database_200!$I179*1.728 + Cp_Database_200!$J179/1.44, 2), "-")</f>
        <v>-</v>
      </c>
      <c r="O179" s="16" t="str">
        <f>IF(AND(1500&gt;=$E179, 1500&lt;=$F179), ROUND(Cp_Database_200!$F179 + Cp_Database_200!$G179*1.5 + Cp_Database_200!$H179*2.25 + Cp_Database_200!$I179*3.375 + Cp_Database_200!$J179/2.25, 2), "-")</f>
        <v>-</v>
      </c>
      <c r="P179" s="16" t="str">
        <f>IF(AND(2000&gt;=$E179, 2000&lt;=$F179), ROUND(Cp_Database_200!$F179 + Cp_Database_200!$G179*2 + Cp_Database_200!$H179*4 + Cp_Database_200!$I179*8 + Cp_Database_200!$J179/4, 2), "-")</f>
        <v>-</v>
      </c>
    </row>
    <row r="180" spans="1:16" ht="15" x14ac:dyDescent="0.3">
      <c r="A180" s="2">
        <f>Cp_Database_200!A180</f>
        <v>179</v>
      </c>
      <c r="B180" s="3" t="str">
        <f>Cp_Database_200!B180</f>
        <v>Magnesium Chloride</v>
      </c>
      <c r="C180" s="4" t="str">
        <f>Cp_Database_200!C180</f>
        <v>MgCl2</v>
      </c>
      <c r="D180" s="3" t="str">
        <f>Cp_Database_200!E180</f>
        <v>Halide &amp; Salt</v>
      </c>
      <c r="E180" s="6">
        <f>Cp_Database_200!K180</f>
        <v>298</v>
      </c>
      <c r="F180" s="6">
        <f>Cp_Database_200!L180</f>
        <v>987</v>
      </c>
      <c r="G180" s="15">
        <f>IF(AND(298.15&gt;=$E180, 298.15&lt;=$F180), ROUND(Cp_Database_200!$F180 + Cp_Database_200!$G180*0.29815 + Cp_Database_200!$H180*0.08889342 + Cp_Database_200!$I180*0.02650357 + Cp_Database_200!$J180/0.08889342, 2), "-")</f>
        <v>71.39</v>
      </c>
      <c r="H180" s="15">
        <f>IF(AND(400&gt;=$E180, 400&lt;=$F180), ROUND(Cp_Database_200!$F180 + Cp_Database_200!$G180*0.4 + Cp_Database_200!$H180*0.16 + Cp_Database_200!$I180*0.064 + Cp_Database_200!$J180/0.16, 2), "-")</f>
        <v>75.709999999999994</v>
      </c>
      <c r="I180" s="15">
        <f>IF(AND(500&gt;=$E180, 500&lt;=$F180), ROUND(Cp_Database_200!$F180 + Cp_Database_200!$G180*0.5 + Cp_Database_200!$H180*0.25 + Cp_Database_200!$I180*0.125 + Cp_Database_200!$J180/0.25, 2), "-")</f>
        <v>78.099999999999994</v>
      </c>
      <c r="J180" s="15">
        <f>IF(AND(600&gt;=$E180, 600&lt;=$F180), ROUND(Cp_Database_200!$F180 + Cp_Database_200!$G180*0.6 + Cp_Database_200!$H180*0.36 + Cp_Database_200!$I180*0.216 + Cp_Database_200!$J180/0.36, 2), "-")</f>
        <v>79.84</v>
      </c>
      <c r="K180" s="15">
        <f>IF(AND(700&gt;=$E180, 700&lt;=$F180), ROUND(Cp_Database_200!$F180 + Cp_Database_200!$G180*0.7 + Cp_Database_200!$H180*0.49 + Cp_Database_200!$I180*0.343 + Cp_Database_200!$J180/0.49, 2), "-")</f>
        <v>81.290000000000006</v>
      </c>
      <c r="L180" s="15">
        <f>IF(AND(800&gt;=$E180, 800&lt;=$F180), ROUND(Cp_Database_200!$F180 + Cp_Database_200!$G180*0.8 + Cp_Database_200!$H180*0.64 + Cp_Database_200!$I180*0.512 + Cp_Database_200!$J180/0.64, 2), "-")</f>
        <v>82.62</v>
      </c>
      <c r="M180" s="15" t="str">
        <f>IF(AND(1000&gt;=$E180, 1000&lt;=$F180), ROUND(Cp_Database_200!$F180 + Cp_Database_200!$G180*1 + Cp_Database_200!$H180*1 + Cp_Database_200!$I180*1 + Cp_Database_200!$J180/1, 2), "-")</f>
        <v>-</v>
      </c>
      <c r="N180" s="15" t="str">
        <f>IF(AND(1200&gt;=$E180, 1200&lt;=$F180), ROUND(Cp_Database_200!$F180 + Cp_Database_200!$G180*1.2 + Cp_Database_200!$H180*1.44 + Cp_Database_200!$I180*1.728 + Cp_Database_200!$J180/1.44, 2), "-")</f>
        <v>-</v>
      </c>
      <c r="O180" s="15" t="str">
        <f>IF(AND(1500&gt;=$E180, 1500&lt;=$F180), ROUND(Cp_Database_200!$F180 + Cp_Database_200!$G180*1.5 + Cp_Database_200!$H180*2.25 + Cp_Database_200!$I180*3.375 + Cp_Database_200!$J180/2.25, 2), "-")</f>
        <v>-</v>
      </c>
      <c r="P180" s="15" t="str">
        <f>IF(AND(2000&gt;=$E180, 2000&lt;=$F180), ROUND(Cp_Database_200!$F180 + Cp_Database_200!$G180*2 + Cp_Database_200!$H180*4 + Cp_Database_200!$I180*8 + Cp_Database_200!$J180/4, 2), "-")</f>
        <v>-</v>
      </c>
    </row>
    <row r="181" spans="1:16" ht="15" x14ac:dyDescent="0.3">
      <c r="A181" s="8">
        <f>Cp_Database_200!A181</f>
        <v>180</v>
      </c>
      <c r="B181" s="9" t="str">
        <f>Cp_Database_200!B181</f>
        <v>Calcium Chloride</v>
      </c>
      <c r="C181" s="10" t="str">
        <f>Cp_Database_200!C181</f>
        <v>CaCl2</v>
      </c>
      <c r="D181" s="9" t="str">
        <f>Cp_Database_200!E181</f>
        <v>Halide &amp; Salt</v>
      </c>
      <c r="E181" s="12">
        <f>Cp_Database_200!K181</f>
        <v>298</v>
      </c>
      <c r="F181" s="12">
        <f>Cp_Database_200!L181</f>
        <v>1045</v>
      </c>
      <c r="G181" s="16">
        <f>IF(AND(298.15&gt;=$E181, 298.15&lt;=$F181), ROUND(Cp_Database_200!$F181 + Cp_Database_200!$G181*0.29815 + Cp_Database_200!$H181*0.08889342 + Cp_Database_200!$I181*0.02650357 + Cp_Database_200!$J181/0.08889342, 2), "-")</f>
        <v>72.91</v>
      </c>
      <c r="H181" s="16">
        <f>IF(AND(400&gt;=$E181, 400&lt;=$F181), ROUND(Cp_Database_200!$F181 + Cp_Database_200!$G181*0.4 + Cp_Database_200!$H181*0.16 + Cp_Database_200!$I181*0.064 + Cp_Database_200!$J181/0.16, 2), "-")</f>
        <v>75.48</v>
      </c>
      <c r="I181" s="16">
        <f>IF(AND(500&gt;=$E181, 500&lt;=$F181), ROUND(Cp_Database_200!$F181 + Cp_Database_200!$G181*0.5 + Cp_Database_200!$H181*0.25 + Cp_Database_200!$I181*0.125 + Cp_Database_200!$J181/0.25, 2), "-")</f>
        <v>76.86</v>
      </c>
      <c r="J181" s="16">
        <f>IF(AND(600&gt;=$E181, 600&lt;=$F181), ROUND(Cp_Database_200!$F181 + Cp_Database_200!$G181*0.6 + Cp_Database_200!$H181*0.36 + Cp_Database_200!$I181*0.216 + Cp_Database_200!$J181/0.36, 2), "-")</f>
        <v>78.14</v>
      </c>
      <c r="K181" s="16">
        <f>IF(AND(700&gt;=$E181, 700&lt;=$F181), ROUND(Cp_Database_200!$F181 + Cp_Database_200!$G181*0.7 + Cp_Database_200!$H181*0.49 + Cp_Database_200!$I181*0.343 + Cp_Database_200!$J181/0.49, 2), "-")</f>
        <v>79.61</v>
      </c>
      <c r="L181" s="16">
        <f>IF(AND(800&gt;=$E181, 800&lt;=$F181), ROUND(Cp_Database_200!$F181 + Cp_Database_200!$G181*0.8 + Cp_Database_200!$H181*0.64 + Cp_Database_200!$I181*0.512 + Cp_Database_200!$J181/0.64, 2), "-")</f>
        <v>81.38</v>
      </c>
      <c r="M181" s="16">
        <f>IF(AND(1000&gt;=$E181, 1000&lt;=$F181), ROUND(Cp_Database_200!$F181 + Cp_Database_200!$G181*1 + Cp_Database_200!$H181*1 + Cp_Database_200!$I181*1 + Cp_Database_200!$J181/1, 2), "-")</f>
        <v>85.82</v>
      </c>
      <c r="N181" s="16" t="str">
        <f>IF(AND(1200&gt;=$E181, 1200&lt;=$F181), ROUND(Cp_Database_200!$F181 + Cp_Database_200!$G181*1.2 + Cp_Database_200!$H181*1.44 + Cp_Database_200!$I181*1.728 + Cp_Database_200!$J181/1.44, 2), "-")</f>
        <v>-</v>
      </c>
      <c r="O181" s="16" t="str">
        <f>IF(AND(1500&gt;=$E181, 1500&lt;=$F181), ROUND(Cp_Database_200!$F181 + Cp_Database_200!$G181*1.5 + Cp_Database_200!$H181*2.25 + Cp_Database_200!$I181*3.375 + Cp_Database_200!$J181/2.25, 2), "-")</f>
        <v>-</v>
      </c>
      <c r="P181" s="16" t="str">
        <f>IF(AND(2000&gt;=$E181, 2000&lt;=$F181), ROUND(Cp_Database_200!$F181 + Cp_Database_200!$G181*2 + Cp_Database_200!$H181*4 + Cp_Database_200!$I181*8 + Cp_Database_200!$J181/4, 2), "-")</f>
        <v>-</v>
      </c>
    </row>
    <row r="182" spans="1:16" ht="15" x14ac:dyDescent="0.3">
      <c r="A182" s="2">
        <f>Cp_Database_200!A182</f>
        <v>181</v>
      </c>
      <c r="B182" s="3" t="str">
        <f>Cp_Database_200!B182</f>
        <v>Strontium Chloride</v>
      </c>
      <c r="C182" s="4" t="str">
        <f>Cp_Database_200!C182</f>
        <v>SrCl2</v>
      </c>
      <c r="D182" s="3" t="str">
        <f>Cp_Database_200!E182</f>
        <v>Halide &amp; Salt</v>
      </c>
      <c r="E182" s="6">
        <f>Cp_Database_200!K182</f>
        <v>298</v>
      </c>
      <c r="F182" s="6">
        <f>Cp_Database_200!L182</f>
        <v>1000</v>
      </c>
      <c r="G182" s="15">
        <f>IF(AND(298.15&gt;=$E182, 298.15&lt;=$F182), ROUND(Cp_Database_200!$F182 + Cp_Database_200!$G182*0.29815 + Cp_Database_200!$H182*0.08889342 + Cp_Database_200!$I182*0.02650357 + Cp_Database_200!$J182/0.08889342, 2), "-")</f>
        <v>75.59</v>
      </c>
      <c r="H182" s="15">
        <f>IF(AND(400&gt;=$E182, 400&lt;=$F182), ROUND(Cp_Database_200!$F182 + Cp_Database_200!$G182*0.4 + Cp_Database_200!$H182*0.16 + Cp_Database_200!$I182*0.064 + Cp_Database_200!$J182/0.16, 2), "-")</f>
        <v>78.89</v>
      </c>
      <c r="I182" s="15">
        <f>IF(AND(500&gt;=$E182, 500&lt;=$F182), ROUND(Cp_Database_200!$F182 + Cp_Database_200!$G182*0.5 + Cp_Database_200!$H182*0.25 + Cp_Database_200!$I182*0.125 + Cp_Database_200!$J182/0.25, 2), "-")</f>
        <v>81.319999999999993</v>
      </c>
      <c r="J182" s="15">
        <f>IF(AND(600&gt;=$E182, 600&lt;=$F182), ROUND(Cp_Database_200!$F182 + Cp_Database_200!$G182*0.6 + Cp_Database_200!$H182*0.36 + Cp_Database_200!$I182*0.216 + Cp_Database_200!$J182/0.36, 2), "-")</f>
        <v>83.66</v>
      </c>
      <c r="K182" s="15">
        <f>IF(AND(700&gt;=$E182, 700&lt;=$F182), ROUND(Cp_Database_200!$F182 + Cp_Database_200!$G182*0.7 + Cp_Database_200!$H182*0.49 + Cp_Database_200!$I182*0.343 + Cp_Database_200!$J182/0.49, 2), "-")</f>
        <v>86.58</v>
      </c>
      <c r="L182" s="15">
        <f>IF(AND(800&gt;=$E182, 800&lt;=$F182), ROUND(Cp_Database_200!$F182 + Cp_Database_200!$G182*0.8 + Cp_Database_200!$H182*0.64 + Cp_Database_200!$I182*0.512 + Cp_Database_200!$J182/0.64, 2), "-")</f>
        <v>90.79</v>
      </c>
      <c r="M182" s="15">
        <f>IF(AND(1000&gt;=$E182, 1000&lt;=$F182), ROUND(Cp_Database_200!$F182 + Cp_Database_200!$G182*1 + Cp_Database_200!$H182*1 + Cp_Database_200!$I182*1 + Cp_Database_200!$J182/1, 2), "-")</f>
        <v>105.83</v>
      </c>
      <c r="N182" s="15" t="str">
        <f>IF(AND(1200&gt;=$E182, 1200&lt;=$F182), ROUND(Cp_Database_200!$F182 + Cp_Database_200!$G182*1.2 + Cp_Database_200!$H182*1.44 + Cp_Database_200!$I182*1.728 + Cp_Database_200!$J182/1.44, 2), "-")</f>
        <v>-</v>
      </c>
      <c r="O182" s="15" t="str">
        <f>IF(AND(1500&gt;=$E182, 1500&lt;=$F182), ROUND(Cp_Database_200!$F182 + Cp_Database_200!$G182*1.5 + Cp_Database_200!$H182*2.25 + Cp_Database_200!$I182*3.375 + Cp_Database_200!$J182/2.25, 2), "-")</f>
        <v>-</v>
      </c>
      <c r="P182" s="15" t="str">
        <f>IF(AND(2000&gt;=$E182, 2000&lt;=$F182), ROUND(Cp_Database_200!$F182 + Cp_Database_200!$G182*2 + Cp_Database_200!$H182*4 + Cp_Database_200!$I182*8 + Cp_Database_200!$J182/4, 2), "-")</f>
        <v>-</v>
      </c>
    </row>
    <row r="183" spans="1:16" ht="15" x14ac:dyDescent="0.3">
      <c r="A183" s="8">
        <f>Cp_Database_200!A183</f>
        <v>182</v>
      </c>
      <c r="B183" s="9" t="str">
        <f>Cp_Database_200!B183</f>
        <v>Barium Chloride</v>
      </c>
      <c r="C183" s="10" t="str">
        <f>Cp_Database_200!C183</f>
        <v>BaCl2</v>
      </c>
      <c r="D183" s="9" t="str">
        <f>Cp_Database_200!E183</f>
        <v>Halide &amp; Salt</v>
      </c>
      <c r="E183" s="12">
        <f>Cp_Database_200!K183</f>
        <v>298</v>
      </c>
      <c r="F183" s="12">
        <f>Cp_Database_200!L183</f>
        <v>1198</v>
      </c>
      <c r="G183" s="16">
        <f>IF(AND(298.15&gt;=$E183, 298.15&lt;=$F183), ROUND(Cp_Database_200!$F183 + Cp_Database_200!$G183*0.29815 + Cp_Database_200!$H183*0.08889342 + Cp_Database_200!$I183*0.02650357 + Cp_Database_200!$J183/0.08889342, 2), "-")</f>
        <v>75.19</v>
      </c>
      <c r="H183" s="16">
        <f>IF(AND(400&gt;=$E183, 400&lt;=$F183), ROUND(Cp_Database_200!$F183 + Cp_Database_200!$G183*0.4 + Cp_Database_200!$H183*0.16 + Cp_Database_200!$I183*0.064 + Cp_Database_200!$J183/0.16, 2), "-")</f>
        <v>77.099999999999994</v>
      </c>
      <c r="I183" s="16">
        <f>IF(AND(500&gt;=$E183, 500&lt;=$F183), ROUND(Cp_Database_200!$F183 + Cp_Database_200!$G183*0.5 + Cp_Database_200!$H183*0.25 + Cp_Database_200!$I183*0.125 + Cp_Database_200!$J183/0.25, 2), "-")</f>
        <v>79</v>
      </c>
      <c r="J183" s="16">
        <f>IF(AND(600&gt;=$E183, 600&lt;=$F183), ROUND(Cp_Database_200!$F183 + Cp_Database_200!$G183*0.6 + Cp_Database_200!$H183*0.36 + Cp_Database_200!$I183*0.216 + Cp_Database_200!$J183/0.36, 2), "-")</f>
        <v>80.680000000000007</v>
      </c>
      <c r="K183" s="16">
        <f>IF(AND(700&gt;=$E183, 700&lt;=$F183), ROUND(Cp_Database_200!$F183 + Cp_Database_200!$G183*0.7 + Cp_Database_200!$H183*0.49 + Cp_Database_200!$I183*0.343 + Cp_Database_200!$J183/0.49, 2), "-")</f>
        <v>82.27</v>
      </c>
      <c r="L183" s="16">
        <f>IF(AND(800&gt;=$E183, 800&lt;=$F183), ROUND(Cp_Database_200!$F183 + Cp_Database_200!$G183*0.8 + Cp_Database_200!$H183*0.64 + Cp_Database_200!$I183*0.512 + Cp_Database_200!$J183/0.64, 2), "-")</f>
        <v>84.06</v>
      </c>
      <c r="M183" s="16">
        <f>IF(AND(1000&gt;=$E183, 1000&lt;=$F183), ROUND(Cp_Database_200!$F183 + Cp_Database_200!$G183*1 + Cp_Database_200!$H183*1 + Cp_Database_200!$I183*1 + Cp_Database_200!$J183/1, 2), "-")</f>
        <v>89.55</v>
      </c>
      <c r="N183" s="16" t="str">
        <f>IF(AND(1200&gt;=$E183, 1200&lt;=$F183), ROUND(Cp_Database_200!$F183 + Cp_Database_200!$G183*1.2 + Cp_Database_200!$H183*1.44 + Cp_Database_200!$I183*1.728 + Cp_Database_200!$J183/1.44, 2), "-")</f>
        <v>-</v>
      </c>
      <c r="O183" s="16" t="str">
        <f>IF(AND(1500&gt;=$E183, 1500&lt;=$F183), ROUND(Cp_Database_200!$F183 + Cp_Database_200!$G183*1.5 + Cp_Database_200!$H183*2.25 + Cp_Database_200!$I183*3.375 + Cp_Database_200!$J183/2.25, 2), "-")</f>
        <v>-</v>
      </c>
      <c r="P183" s="16" t="str">
        <f>IF(AND(2000&gt;=$E183, 2000&lt;=$F183), ROUND(Cp_Database_200!$F183 + Cp_Database_200!$G183*2 + Cp_Database_200!$H183*4 + Cp_Database_200!$I183*8 + Cp_Database_200!$J183/4, 2), "-")</f>
        <v>-</v>
      </c>
    </row>
    <row r="184" spans="1:16" ht="15" x14ac:dyDescent="0.3">
      <c r="A184" s="2">
        <f>Cp_Database_200!A184</f>
        <v>183</v>
      </c>
      <c r="B184" s="3" t="str">
        <f>Cp_Database_200!B184</f>
        <v>Mercury(I) Chloride</v>
      </c>
      <c r="C184" s="4" t="str">
        <f>Cp_Database_200!C184</f>
        <v>Hg2Cl2</v>
      </c>
      <c r="D184" s="3" t="str">
        <f>Cp_Database_200!E184</f>
        <v>Halide &amp; Salt</v>
      </c>
      <c r="E184" s="6">
        <f>Cp_Database_200!K184</f>
        <v>298</v>
      </c>
      <c r="F184" s="6">
        <f>Cp_Database_200!L184</f>
        <v>1500</v>
      </c>
      <c r="G184" s="15">
        <f>IF(AND(298.15&gt;=$E184, 298.15&lt;=$F184), ROUND(Cp_Database_200!$F184 + Cp_Database_200!$G184*0.29815 + Cp_Database_200!$H184*0.08889342 + Cp_Database_200!$I184*0.02650357 + Cp_Database_200!$J184/0.08889342, 2), "-")</f>
        <v>101.96</v>
      </c>
      <c r="H184" s="15">
        <f>IF(AND(400&gt;=$E184, 400&lt;=$F184), ROUND(Cp_Database_200!$F184 + Cp_Database_200!$G184*0.4 + Cp_Database_200!$H184*0.16 + Cp_Database_200!$I184*0.064 + Cp_Database_200!$J184/0.16, 2), "-")</f>
        <v>106.08</v>
      </c>
      <c r="I184" s="15">
        <f>IF(AND(500&gt;=$E184, 500&lt;=$F184), ROUND(Cp_Database_200!$F184 + Cp_Database_200!$G184*0.5 + Cp_Database_200!$H184*0.25 + Cp_Database_200!$I184*0.125 + Cp_Database_200!$J184/0.25, 2), "-")</f>
        <v>109.3</v>
      </c>
      <c r="J184" s="15">
        <f>IF(AND(600&gt;=$E184, 600&lt;=$F184), ROUND(Cp_Database_200!$F184 + Cp_Database_200!$G184*0.6 + Cp_Database_200!$H184*0.36 + Cp_Database_200!$I184*0.216 + Cp_Database_200!$J184/0.36, 2), "-")</f>
        <v>112.08</v>
      </c>
      <c r="K184" s="15">
        <f>IF(AND(700&gt;=$E184, 700&lt;=$F184), ROUND(Cp_Database_200!$F184 + Cp_Database_200!$G184*0.7 + Cp_Database_200!$H184*0.49 + Cp_Database_200!$I184*0.343 + Cp_Database_200!$J184/0.49, 2), "-")</f>
        <v>114.57</v>
      </c>
      <c r="L184" s="15">
        <f>IF(AND(800&gt;=$E184, 800&lt;=$F184), ROUND(Cp_Database_200!$F184 + Cp_Database_200!$G184*0.8 + Cp_Database_200!$H184*0.64 + Cp_Database_200!$I184*0.512 + Cp_Database_200!$J184/0.64, 2), "-")</f>
        <v>116.82</v>
      </c>
      <c r="M184" s="15">
        <f>IF(AND(1000&gt;=$E184, 1000&lt;=$F184), ROUND(Cp_Database_200!$F184 + Cp_Database_200!$G184*1 + Cp_Database_200!$H184*1 + Cp_Database_200!$I184*1 + Cp_Database_200!$J184/1, 2), "-")</f>
        <v>120.69</v>
      </c>
      <c r="N184" s="15">
        <f>IF(AND(1200&gt;=$E184, 1200&lt;=$F184), ROUND(Cp_Database_200!$F184 + Cp_Database_200!$G184*1.2 + Cp_Database_200!$H184*1.44 + Cp_Database_200!$I184*1.728 + Cp_Database_200!$J184/1.44, 2), "-")</f>
        <v>123.83</v>
      </c>
      <c r="O184" s="15">
        <f>IF(AND(1500&gt;=$E184, 1500&lt;=$F184), ROUND(Cp_Database_200!$F184 + Cp_Database_200!$G184*1.5 + Cp_Database_200!$H184*2.25 + Cp_Database_200!$I184*3.375 + Cp_Database_200!$J184/2.25, 2), "-")</f>
        <v>127.3</v>
      </c>
      <c r="P184" s="15" t="str">
        <f>IF(AND(2000&gt;=$E184, 2000&lt;=$F184), ROUND(Cp_Database_200!$F184 + Cp_Database_200!$G184*2 + Cp_Database_200!$H184*4 + Cp_Database_200!$I184*8 + Cp_Database_200!$J184/4, 2), "-")</f>
        <v>-</v>
      </c>
    </row>
    <row r="185" spans="1:16" ht="15" x14ac:dyDescent="0.3">
      <c r="A185" s="8">
        <f>Cp_Database_200!A185</f>
        <v>184</v>
      </c>
      <c r="B185" s="9" t="str">
        <f>Cp_Database_200!B185</f>
        <v>Mercury(II) Chloride</v>
      </c>
      <c r="C185" s="10" t="str">
        <f>Cp_Database_200!C185</f>
        <v>HgCl2</v>
      </c>
      <c r="D185" s="9" t="str">
        <f>Cp_Database_200!E185</f>
        <v>Halide &amp; Salt</v>
      </c>
      <c r="E185" s="12">
        <f>Cp_Database_200!K185</f>
        <v>298</v>
      </c>
      <c r="F185" s="12">
        <f>Cp_Database_200!L185</f>
        <v>550</v>
      </c>
      <c r="G185" s="16">
        <f>IF(AND(298.15&gt;=$E185, 298.15&lt;=$F185), ROUND(Cp_Database_200!$F185 + Cp_Database_200!$G185*0.29815 + Cp_Database_200!$H185*0.08889342 + Cp_Database_200!$I185*0.02650357 + Cp_Database_200!$J185/0.08889342, 2), "-")</f>
        <v>73.92</v>
      </c>
      <c r="H185" s="16">
        <f>IF(AND(400&gt;=$E185, 400&lt;=$F185), ROUND(Cp_Database_200!$F185 + Cp_Database_200!$G185*0.4 + Cp_Database_200!$H185*0.16 + Cp_Database_200!$I185*0.064 + Cp_Database_200!$J185/0.16, 2), "-")</f>
        <v>76.89</v>
      </c>
      <c r="I185" s="16">
        <f>IF(AND(500&gt;=$E185, 500&lt;=$F185), ROUND(Cp_Database_200!$F185 + Cp_Database_200!$G185*0.5 + Cp_Database_200!$H185*0.25 + Cp_Database_200!$I185*0.125 + Cp_Database_200!$J185/0.25, 2), "-")</f>
        <v>79.38</v>
      </c>
      <c r="J185" s="16" t="str">
        <f>IF(AND(600&gt;=$E185, 600&lt;=$F185), ROUND(Cp_Database_200!$F185 + Cp_Database_200!$G185*0.6 + Cp_Database_200!$H185*0.36 + Cp_Database_200!$I185*0.216 + Cp_Database_200!$J185/0.36, 2), "-")</f>
        <v>-</v>
      </c>
      <c r="K185" s="16" t="str">
        <f>IF(AND(700&gt;=$E185, 700&lt;=$F185), ROUND(Cp_Database_200!$F185 + Cp_Database_200!$G185*0.7 + Cp_Database_200!$H185*0.49 + Cp_Database_200!$I185*0.343 + Cp_Database_200!$J185/0.49, 2), "-")</f>
        <v>-</v>
      </c>
      <c r="L185" s="16" t="str">
        <f>IF(AND(800&gt;=$E185, 800&lt;=$F185), ROUND(Cp_Database_200!$F185 + Cp_Database_200!$G185*0.8 + Cp_Database_200!$H185*0.64 + Cp_Database_200!$I185*0.512 + Cp_Database_200!$J185/0.64, 2), "-")</f>
        <v>-</v>
      </c>
      <c r="M185" s="16" t="str">
        <f>IF(AND(1000&gt;=$E185, 1000&lt;=$F185), ROUND(Cp_Database_200!$F185 + Cp_Database_200!$G185*1 + Cp_Database_200!$H185*1 + Cp_Database_200!$I185*1 + Cp_Database_200!$J185/1, 2), "-")</f>
        <v>-</v>
      </c>
      <c r="N185" s="16" t="str">
        <f>IF(AND(1200&gt;=$E185, 1200&lt;=$F185), ROUND(Cp_Database_200!$F185 + Cp_Database_200!$G185*1.2 + Cp_Database_200!$H185*1.44 + Cp_Database_200!$I185*1.728 + Cp_Database_200!$J185/1.44, 2), "-")</f>
        <v>-</v>
      </c>
      <c r="O185" s="16" t="str">
        <f>IF(AND(1500&gt;=$E185, 1500&lt;=$F185), ROUND(Cp_Database_200!$F185 + Cp_Database_200!$G185*1.5 + Cp_Database_200!$H185*2.25 + Cp_Database_200!$I185*3.375 + Cp_Database_200!$J185/2.25, 2), "-")</f>
        <v>-</v>
      </c>
      <c r="P185" s="16" t="str">
        <f>IF(AND(2000&gt;=$E185, 2000&lt;=$F185), ROUND(Cp_Database_200!$F185 + Cp_Database_200!$G185*2 + Cp_Database_200!$H185*4 + Cp_Database_200!$I185*8 + Cp_Database_200!$J185/4, 2), "-")</f>
        <v>-</v>
      </c>
    </row>
    <row r="186" spans="1:16" ht="15" x14ac:dyDescent="0.3">
      <c r="A186" s="2">
        <f>Cp_Database_200!A186</f>
        <v>185</v>
      </c>
      <c r="B186" s="3" t="str">
        <f>Cp_Database_200!B186</f>
        <v>Silicon Tetrabromide</v>
      </c>
      <c r="C186" s="4" t="str">
        <f>Cp_Database_200!C186</f>
        <v>SiBr4</v>
      </c>
      <c r="D186" s="3" t="str">
        <f>Cp_Database_200!E186</f>
        <v>Halide &amp; Salt</v>
      </c>
      <c r="E186" s="6">
        <f>Cp_Database_200!K186</f>
        <v>298</v>
      </c>
      <c r="F186" s="6">
        <f>Cp_Database_200!L186</f>
        <v>800</v>
      </c>
      <c r="G186" s="15">
        <f>IF(AND(298.15&gt;=$E186, 298.15&lt;=$F186), ROUND(Cp_Database_200!$F186 + Cp_Database_200!$G186*0.29815 + Cp_Database_200!$H186*0.08889342 + Cp_Database_200!$I186*0.02650357 + Cp_Database_200!$J186/0.08889342, 2), "-")</f>
        <v>146.44</v>
      </c>
      <c r="H186" s="15">
        <f>IF(AND(400&gt;=$E186, 400&lt;=$F186), ROUND(Cp_Database_200!$F186 + Cp_Database_200!$G186*0.4 + Cp_Database_200!$H186*0.16 + Cp_Database_200!$I186*0.064 + Cp_Database_200!$J186/0.16, 2), "-")</f>
        <v>146.44</v>
      </c>
      <c r="I186" s="15">
        <f>IF(AND(500&gt;=$E186, 500&lt;=$F186), ROUND(Cp_Database_200!$F186 + Cp_Database_200!$G186*0.5 + Cp_Database_200!$H186*0.25 + Cp_Database_200!$I186*0.125 + Cp_Database_200!$J186/0.25, 2), "-")</f>
        <v>146.44</v>
      </c>
      <c r="J186" s="15">
        <f>IF(AND(600&gt;=$E186, 600&lt;=$F186), ROUND(Cp_Database_200!$F186 + Cp_Database_200!$G186*0.6 + Cp_Database_200!$H186*0.36 + Cp_Database_200!$I186*0.216 + Cp_Database_200!$J186/0.36, 2), "-")</f>
        <v>146.44</v>
      </c>
      <c r="K186" s="15">
        <f>IF(AND(700&gt;=$E186, 700&lt;=$F186), ROUND(Cp_Database_200!$F186 + Cp_Database_200!$G186*0.7 + Cp_Database_200!$H186*0.49 + Cp_Database_200!$I186*0.343 + Cp_Database_200!$J186/0.49, 2), "-")</f>
        <v>146.44</v>
      </c>
      <c r="L186" s="15">
        <f>IF(AND(800&gt;=$E186, 800&lt;=$F186), ROUND(Cp_Database_200!$F186 + Cp_Database_200!$G186*0.8 + Cp_Database_200!$H186*0.64 + Cp_Database_200!$I186*0.512 + Cp_Database_200!$J186/0.64, 2), "-")</f>
        <v>146.44</v>
      </c>
      <c r="M186" s="15" t="str">
        <f>IF(AND(1000&gt;=$E186, 1000&lt;=$F186), ROUND(Cp_Database_200!$F186 + Cp_Database_200!$G186*1 + Cp_Database_200!$H186*1 + Cp_Database_200!$I186*1 + Cp_Database_200!$J186/1, 2), "-")</f>
        <v>-</v>
      </c>
      <c r="N186" s="15" t="str">
        <f>IF(AND(1200&gt;=$E186, 1200&lt;=$F186), ROUND(Cp_Database_200!$F186 + Cp_Database_200!$G186*1.2 + Cp_Database_200!$H186*1.44 + Cp_Database_200!$I186*1.728 + Cp_Database_200!$J186/1.44, 2), "-")</f>
        <v>-</v>
      </c>
      <c r="O186" s="15" t="str">
        <f>IF(AND(1500&gt;=$E186, 1500&lt;=$F186), ROUND(Cp_Database_200!$F186 + Cp_Database_200!$G186*1.5 + Cp_Database_200!$H186*2.25 + Cp_Database_200!$I186*3.375 + Cp_Database_200!$J186/2.25, 2), "-")</f>
        <v>-</v>
      </c>
      <c r="P186" s="15" t="str">
        <f>IF(AND(2000&gt;=$E186, 2000&lt;=$F186), ROUND(Cp_Database_200!$F186 + Cp_Database_200!$G186*2 + Cp_Database_200!$H186*4 + Cp_Database_200!$I186*8 + Cp_Database_200!$J186/4, 2), "-")</f>
        <v>-</v>
      </c>
    </row>
    <row r="187" spans="1:16" ht="15" x14ac:dyDescent="0.3">
      <c r="A187" s="8">
        <f>Cp_Database_200!A187</f>
        <v>186</v>
      </c>
      <c r="B187" s="9" t="str">
        <f>Cp_Database_200!B187</f>
        <v>Tetrafluoromethane / R-14</v>
      </c>
      <c r="C187" s="10" t="str">
        <f>Cp_Database_200!C187</f>
        <v>CF4</v>
      </c>
      <c r="D187" s="9" t="str">
        <f>Cp_Database_200!E187</f>
        <v>Technological Fluid &amp; Gas</v>
      </c>
      <c r="E187" s="12">
        <f>Cp_Database_200!K187</f>
        <v>298</v>
      </c>
      <c r="F187" s="12">
        <f>Cp_Database_200!L187</f>
        <v>1000</v>
      </c>
      <c r="G187" s="16">
        <f>IF(AND(298.15&gt;=$E187, 298.15&lt;=$F187), ROUND(Cp_Database_200!$F187 + Cp_Database_200!$G187*0.29815 + Cp_Database_200!$H187*0.08889342 + Cp_Database_200!$I187*0.02650357 + Cp_Database_200!$J187/0.08889342, 2), "-")</f>
        <v>61.04</v>
      </c>
      <c r="H187" s="16">
        <f>IF(AND(400&gt;=$E187, 400&lt;=$F187), ROUND(Cp_Database_200!$F187 + Cp_Database_200!$G187*0.4 + Cp_Database_200!$H187*0.16 + Cp_Database_200!$I187*0.064 + Cp_Database_200!$J187/0.16, 2), "-")</f>
        <v>72.41</v>
      </c>
      <c r="I187" s="16">
        <f>IF(AND(500&gt;=$E187, 500&lt;=$F187), ROUND(Cp_Database_200!$F187 + Cp_Database_200!$G187*0.5 + Cp_Database_200!$H187*0.25 + Cp_Database_200!$I187*0.125 + Cp_Database_200!$J187/0.25, 2), "-")</f>
        <v>80.67</v>
      </c>
      <c r="J187" s="16">
        <f>IF(AND(600&gt;=$E187, 600&lt;=$F187), ROUND(Cp_Database_200!$F187 + Cp_Database_200!$G187*0.6 + Cp_Database_200!$H187*0.36 + Cp_Database_200!$I187*0.216 + Cp_Database_200!$J187/0.36, 2), "-")</f>
        <v>86.79</v>
      </c>
      <c r="K187" s="16">
        <f>IF(AND(700&gt;=$E187, 700&lt;=$F187), ROUND(Cp_Database_200!$F187 + Cp_Database_200!$G187*0.7 + Cp_Database_200!$H187*0.49 + Cp_Database_200!$I187*0.343 + Cp_Database_200!$J187/0.49, 2), "-")</f>
        <v>91.25</v>
      </c>
      <c r="L187" s="16">
        <f>IF(AND(800&gt;=$E187, 800&lt;=$F187), ROUND(Cp_Database_200!$F187 + Cp_Database_200!$G187*0.8 + Cp_Database_200!$H187*0.64 + Cp_Database_200!$I187*0.512 + Cp_Database_200!$J187/0.64, 2), "-")</f>
        <v>94.48</v>
      </c>
      <c r="M187" s="16">
        <f>IF(AND(1000&gt;=$E187, 1000&lt;=$F187), ROUND(Cp_Database_200!$F187 + Cp_Database_200!$G187*1 + Cp_Database_200!$H187*1 + Cp_Database_200!$I187*1 + Cp_Database_200!$J187/1, 2), "-")</f>
        <v>98.82</v>
      </c>
      <c r="N187" s="16" t="str">
        <f>IF(AND(1200&gt;=$E187, 1200&lt;=$F187), ROUND(Cp_Database_200!$F187 + Cp_Database_200!$G187*1.2 + Cp_Database_200!$H187*1.44 + Cp_Database_200!$I187*1.728 + Cp_Database_200!$J187/1.44, 2), "-")</f>
        <v>-</v>
      </c>
      <c r="O187" s="16" t="str">
        <f>IF(AND(1500&gt;=$E187, 1500&lt;=$F187), ROUND(Cp_Database_200!$F187 + Cp_Database_200!$G187*1.5 + Cp_Database_200!$H187*2.25 + Cp_Database_200!$I187*3.375 + Cp_Database_200!$J187/2.25, 2), "-")</f>
        <v>-</v>
      </c>
      <c r="P187" s="16" t="str">
        <f>IF(AND(2000&gt;=$E187, 2000&lt;=$F187), ROUND(Cp_Database_200!$F187 + Cp_Database_200!$G187*2 + Cp_Database_200!$H187*4 + Cp_Database_200!$I187*8 + Cp_Database_200!$J187/4, 2), "-")</f>
        <v>-</v>
      </c>
    </row>
    <row r="188" spans="1:16" ht="15" x14ac:dyDescent="0.3">
      <c r="A188" s="2">
        <f>Cp_Database_200!A188</f>
        <v>187</v>
      </c>
      <c r="B188" s="3" t="str">
        <f>Cp_Database_200!B188</f>
        <v>Hexafluoroethane / R-116</v>
      </c>
      <c r="C188" s="4" t="str">
        <f>Cp_Database_200!C188</f>
        <v>C2F6</v>
      </c>
      <c r="D188" s="3" t="str">
        <f>Cp_Database_200!E188</f>
        <v>Technological Fluid &amp; Gas</v>
      </c>
      <c r="E188" s="6">
        <f>Cp_Database_200!K188</f>
        <v>298</v>
      </c>
      <c r="F188" s="6">
        <f>Cp_Database_200!L188</f>
        <v>1400</v>
      </c>
      <c r="G188" s="15">
        <f>IF(AND(298.15&gt;=$E188, 298.15&lt;=$F188), ROUND(Cp_Database_200!$F188 + Cp_Database_200!$G188*0.29815 + Cp_Database_200!$H188*0.08889342 + Cp_Database_200!$I188*0.02650357 + Cp_Database_200!$J188/0.08889342, 2), "-")</f>
        <v>106.33</v>
      </c>
      <c r="H188" s="15">
        <f>IF(AND(400&gt;=$E188, 400&lt;=$F188), ROUND(Cp_Database_200!$F188 + Cp_Database_200!$G188*0.4 + Cp_Database_200!$H188*0.16 + Cp_Database_200!$I188*0.064 + Cp_Database_200!$J188/0.16, 2), "-")</f>
        <v>125.94</v>
      </c>
      <c r="I188" s="15">
        <f>IF(AND(500&gt;=$E188, 500&lt;=$F188), ROUND(Cp_Database_200!$F188 + Cp_Database_200!$G188*0.5 + Cp_Database_200!$H188*0.25 + Cp_Database_200!$I188*0.125 + Cp_Database_200!$J188/0.25, 2), "-")</f>
        <v>138.96</v>
      </c>
      <c r="J188" s="15">
        <f>IF(AND(600&gt;=$E188, 600&lt;=$F188), ROUND(Cp_Database_200!$F188 + Cp_Database_200!$G188*0.6 + Cp_Database_200!$H188*0.36 + Cp_Database_200!$I188*0.216 + Cp_Database_200!$J188/0.36, 2), "-")</f>
        <v>148.4</v>
      </c>
      <c r="K188" s="15">
        <f>IF(AND(700&gt;=$E188, 700&lt;=$F188), ROUND(Cp_Database_200!$F188 + Cp_Database_200!$G188*0.7 + Cp_Database_200!$H188*0.49 + Cp_Database_200!$I188*0.343 + Cp_Database_200!$J188/0.49, 2), "-")</f>
        <v>155.36000000000001</v>
      </c>
      <c r="L188" s="15">
        <f>IF(AND(800&gt;=$E188, 800&lt;=$F188), ROUND(Cp_Database_200!$F188 + Cp_Database_200!$G188*0.8 + Cp_Database_200!$H188*0.64 + Cp_Database_200!$I188*0.512 + Cp_Database_200!$J188/0.64, 2), "-")</f>
        <v>160.44</v>
      </c>
      <c r="M188" s="15">
        <f>IF(AND(1000&gt;=$E188, 1000&lt;=$F188), ROUND(Cp_Database_200!$F188 + Cp_Database_200!$G188*1 + Cp_Database_200!$H188*1 + Cp_Database_200!$I188*1 + Cp_Database_200!$J188/1, 2), "-")</f>
        <v>166.64</v>
      </c>
      <c r="N188" s="15">
        <f>IF(AND(1200&gt;=$E188, 1200&lt;=$F188), ROUND(Cp_Database_200!$F188 + Cp_Database_200!$G188*1.2 + Cp_Database_200!$H188*1.44 + Cp_Database_200!$I188*1.728 + Cp_Database_200!$J188/1.44, 2), "-")</f>
        <v>169.84</v>
      </c>
      <c r="O188" s="15" t="str">
        <f>IF(AND(1500&gt;=$E188, 1500&lt;=$F188), ROUND(Cp_Database_200!$F188 + Cp_Database_200!$G188*1.5 + Cp_Database_200!$H188*2.25 + Cp_Database_200!$I188*3.375 + Cp_Database_200!$J188/2.25, 2), "-")</f>
        <v>-</v>
      </c>
      <c r="P188" s="15" t="str">
        <f>IF(AND(2000&gt;=$E188, 2000&lt;=$F188), ROUND(Cp_Database_200!$F188 + Cp_Database_200!$G188*2 + Cp_Database_200!$H188*4 + Cp_Database_200!$I188*8 + Cp_Database_200!$J188/4, 2), "-")</f>
        <v>-</v>
      </c>
    </row>
    <row r="189" spans="1:16" ht="15" x14ac:dyDescent="0.3">
      <c r="A189" s="8">
        <f>Cp_Database_200!A189</f>
        <v>188</v>
      </c>
      <c r="B189" s="9" t="str">
        <f>Cp_Database_200!B189</f>
        <v>Phosphorus Trifluoride</v>
      </c>
      <c r="C189" s="10" t="str">
        <f>Cp_Database_200!C189</f>
        <v>PF3</v>
      </c>
      <c r="D189" s="9" t="str">
        <f>Cp_Database_200!E189</f>
        <v>Halide &amp; Salt</v>
      </c>
      <c r="E189" s="12">
        <f>Cp_Database_200!K189</f>
        <v>298</v>
      </c>
      <c r="F189" s="12">
        <f>Cp_Database_200!L189</f>
        <v>1000</v>
      </c>
      <c r="G189" s="16">
        <f>IF(AND(298.15&gt;=$E189, 298.15&lt;=$F189), ROUND(Cp_Database_200!$F189 + Cp_Database_200!$G189*0.29815 + Cp_Database_200!$H189*0.08889342 + Cp_Database_200!$I189*0.02650357 + Cp_Database_200!$J189/0.08889342, 2), "-")</f>
        <v>58.68</v>
      </c>
      <c r="H189" s="16">
        <f>IF(AND(400&gt;=$E189, 400&lt;=$F189), ROUND(Cp_Database_200!$F189 + Cp_Database_200!$G189*0.4 + Cp_Database_200!$H189*0.16 + Cp_Database_200!$I189*0.064 + Cp_Database_200!$J189/0.16, 2), "-")</f>
        <v>66.08</v>
      </c>
      <c r="I189" s="16">
        <f>IF(AND(500&gt;=$E189, 500&lt;=$F189), ROUND(Cp_Database_200!$F189 + Cp_Database_200!$G189*0.5 + Cp_Database_200!$H189*0.25 + Cp_Database_200!$I189*0.125 + Cp_Database_200!$J189/0.25, 2), "-")</f>
        <v>70.790000000000006</v>
      </c>
      <c r="J189" s="16">
        <f>IF(AND(600&gt;=$E189, 600&lt;=$F189), ROUND(Cp_Database_200!$F189 + Cp_Database_200!$G189*0.6 + Cp_Database_200!$H189*0.36 + Cp_Database_200!$I189*0.216 + Cp_Database_200!$J189/0.36, 2), "-")</f>
        <v>73.98</v>
      </c>
      <c r="K189" s="16">
        <f>IF(AND(700&gt;=$E189, 700&lt;=$F189), ROUND(Cp_Database_200!$F189 + Cp_Database_200!$G189*0.7 + Cp_Database_200!$H189*0.49 + Cp_Database_200!$I189*0.343 + Cp_Database_200!$J189/0.49, 2), "-")</f>
        <v>76.13</v>
      </c>
      <c r="L189" s="16">
        <f>IF(AND(800&gt;=$E189, 800&lt;=$F189), ROUND(Cp_Database_200!$F189 + Cp_Database_200!$G189*0.8 + Cp_Database_200!$H189*0.64 + Cp_Database_200!$I189*0.512 + Cp_Database_200!$J189/0.64, 2), "-")</f>
        <v>77.59</v>
      </c>
      <c r="M189" s="16">
        <f>IF(AND(1000&gt;=$E189, 1000&lt;=$F189), ROUND(Cp_Database_200!$F189 + Cp_Database_200!$G189*1 + Cp_Database_200!$H189*1 + Cp_Database_200!$I189*1 + Cp_Database_200!$J189/1, 2), "-")</f>
        <v>79.47</v>
      </c>
      <c r="N189" s="16" t="str">
        <f>IF(AND(1200&gt;=$E189, 1200&lt;=$F189), ROUND(Cp_Database_200!$F189 + Cp_Database_200!$G189*1.2 + Cp_Database_200!$H189*1.44 + Cp_Database_200!$I189*1.728 + Cp_Database_200!$J189/1.44, 2), "-")</f>
        <v>-</v>
      </c>
      <c r="O189" s="16" t="str">
        <f>IF(AND(1500&gt;=$E189, 1500&lt;=$F189), ROUND(Cp_Database_200!$F189 + Cp_Database_200!$G189*1.5 + Cp_Database_200!$H189*2.25 + Cp_Database_200!$I189*3.375 + Cp_Database_200!$J189/2.25, 2), "-")</f>
        <v>-</v>
      </c>
      <c r="P189" s="16" t="str">
        <f>IF(AND(2000&gt;=$E189, 2000&lt;=$F189), ROUND(Cp_Database_200!$F189 + Cp_Database_200!$G189*2 + Cp_Database_200!$H189*4 + Cp_Database_200!$I189*8 + Cp_Database_200!$J189/4, 2), "-")</f>
        <v>-</v>
      </c>
    </row>
    <row r="190" spans="1:16" ht="15" x14ac:dyDescent="0.3">
      <c r="A190" s="2">
        <f>Cp_Database_200!A190</f>
        <v>189</v>
      </c>
      <c r="B190" s="3" t="str">
        <f>Cp_Database_200!B190</f>
        <v>Phosphorus Trichloride</v>
      </c>
      <c r="C190" s="4" t="str">
        <f>Cp_Database_200!C190</f>
        <v>PCl3</v>
      </c>
      <c r="D190" s="3" t="str">
        <f>Cp_Database_200!E190</f>
        <v>Halide &amp; Salt</v>
      </c>
      <c r="E190" s="6">
        <f>Cp_Database_200!K190</f>
        <v>298</v>
      </c>
      <c r="F190" s="6">
        <f>Cp_Database_200!L190</f>
        <v>6000</v>
      </c>
      <c r="G190" s="15">
        <f>IF(AND(298.15&gt;=$E190, 298.15&lt;=$F190), ROUND(Cp_Database_200!$F190 + Cp_Database_200!$G190*0.29815 + Cp_Database_200!$H190*0.08889342 + Cp_Database_200!$I190*0.02650357 + Cp_Database_200!$J190/0.08889342, 2), "-")</f>
        <v>71.38</v>
      </c>
      <c r="H190" s="15">
        <f>IF(AND(400&gt;=$E190, 400&lt;=$F190), ROUND(Cp_Database_200!$F190 + Cp_Database_200!$G190*0.4 + Cp_Database_200!$H190*0.16 + Cp_Database_200!$I190*0.064 + Cp_Database_200!$J190/0.16, 2), "-")</f>
        <v>76.290000000000006</v>
      </c>
      <c r="I190" s="15">
        <f>IF(AND(500&gt;=$E190, 500&lt;=$F190), ROUND(Cp_Database_200!$F190 + Cp_Database_200!$G190*0.5 + Cp_Database_200!$H190*0.25 + Cp_Database_200!$I190*0.125 + Cp_Database_200!$J190/0.25, 2), "-")</f>
        <v>78.53</v>
      </c>
      <c r="J190" s="15">
        <f>IF(AND(600&gt;=$E190, 600&lt;=$F190), ROUND(Cp_Database_200!$F190 + Cp_Database_200!$G190*0.6 + Cp_Database_200!$H190*0.36 + Cp_Database_200!$I190*0.216 + Cp_Database_200!$J190/0.36, 2), "-")</f>
        <v>79.790000000000006</v>
      </c>
      <c r="K190" s="15">
        <f>IF(AND(700&gt;=$E190, 700&lt;=$F190), ROUND(Cp_Database_200!$F190 + Cp_Database_200!$G190*0.7 + Cp_Database_200!$H190*0.49 + Cp_Database_200!$I190*0.343 + Cp_Database_200!$J190/0.49, 2), "-")</f>
        <v>80.569999999999993</v>
      </c>
      <c r="L190" s="15">
        <f>IF(AND(800&gt;=$E190, 800&lt;=$F190), ROUND(Cp_Database_200!$F190 + Cp_Database_200!$G190*0.8 + Cp_Database_200!$H190*0.64 + Cp_Database_200!$I190*0.512 + Cp_Database_200!$J190/0.64, 2), "-")</f>
        <v>81.09</v>
      </c>
      <c r="M190" s="15">
        <f>IF(AND(1000&gt;=$E190, 1000&lt;=$F190), ROUND(Cp_Database_200!$F190 + Cp_Database_200!$G190*1 + Cp_Database_200!$H190*1 + Cp_Database_200!$I190*1 + Cp_Database_200!$J190/1, 2), "-")</f>
        <v>81.75</v>
      </c>
      <c r="N190" s="15">
        <f>IF(AND(1200&gt;=$E190, 1200&lt;=$F190), ROUND(Cp_Database_200!$F190 + Cp_Database_200!$G190*1.2 + Cp_Database_200!$H190*1.44 + Cp_Database_200!$I190*1.728 + Cp_Database_200!$J190/1.44, 2), "-")</f>
        <v>82.14</v>
      </c>
      <c r="O190" s="15">
        <f>IF(AND(1500&gt;=$E190, 1500&lt;=$F190), ROUND(Cp_Database_200!$F190 + Cp_Database_200!$G190*1.5 + Cp_Database_200!$H190*2.25 + Cp_Database_200!$I190*3.375 + Cp_Database_200!$J190/2.25, 2), "-")</f>
        <v>82.51</v>
      </c>
      <c r="P190" s="15">
        <f>IF(AND(2000&gt;=$E190, 2000&lt;=$F190), ROUND(Cp_Database_200!$F190 + Cp_Database_200!$G190*2 + Cp_Database_200!$H190*4 + Cp_Database_200!$I190*8 + Cp_Database_200!$J190/4, 2), "-")</f>
        <v>82.83</v>
      </c>
    </row>
    <row r="191" spans="1:16" ht="15" x14ac:dyDescent="0.3">
      <c r="A191" s="8">
        <f>Cp_Database_200!A191</f>
        <v>190</v>
      </c>
      <c r="B191" s="9" t="str">
        <f>Cp_Database_200!B191</f>
        <v>Phosphorus Pentachloride</v>
      </c>
      <c r="C191" s="10" t="str">
        <f>Cp_Database_200!C191</f>
        <v>PCl5</v>
      </c>
      <c r="D191" s="9" t="str">
        <f>Cp_Database_200!E191</f>
        <v>Halide &amp; Salt</v>
      </c>
      <c r="E191" s="12">
        <f>Cp_Database_200!K191</f>
        <v>298</v>
      </c>
      <c r="F191" s="12">
        <f>Cp_Database_200!L191</f>
        <v>6000</v>
      </c>
      <c r="G191" s="16">
        <f>IF(AND(298.15&gt;=$E191, 298.15&lt;=$F191), ROUND(Cp_Database_200!$F191 + Cp_Database_200!$G191*0.29815 + Cp_Database_200!$H191*0.08889342 + Cp_Database_200!$I191*0.02650357 + Cp_Database_200!$J191/0.08889342, 2), "-")</f>
        <v>111.54</v>
      </c>
      <c r="H191" s="16">
        <f>IF(AND(400&gt;=$E191, 400&lt;=$F191), ROUND(Cp_Database_200!$F191 + Cp_Database_200!$G191*0.4 + Cp_Database_200!$H191*0.16 + Cp_Database_200!$I191*0.064 + Cp_Database_200!$J191/0.16, 2), "-")</f>
        <v>120.51</v>
      </c>
      <c r="I191" s="16">
        <f>IF(AND(500&gt;=$E191, 500&lt;=$F191), ROUND(Cp_Database_200!$F191 + Cp_Database_200!$G191*0.5 + Cp_Database_200!$H191*0.25 + Cp_Database_200!$I191*0.125 + Cp_Database_200!$J191/0.25, 2), "-")</f>
        <v>124.62</v>
      </c>
      <c r="J191" s="16">
        <f>IF(AND(600&gt;=$E191, 600&lt;=$F191), ROUND(Cp_Database_200!$F191 + Cp_Database_200!$G191*0.6 + Cp_Database_200!$H191*0.36 + Cp_Database_200!$I191*0.216 + Cp_Database_200!$J191/0.36, 2), "-")</f>
        <v>126.91</v>
      </c>
      <c r="K191" s="16">
        <f>IF(AND(700&gt;=$E191, 700&lt;=$F191), ROUND(Cp_Database_200!$F191 + Cp_Database_200!$G191*0.7 + Cp_Database_200!$H191*0.49 + Cp_Database_200!$I191*0.343 + Cp_Database_200!$J191/0.49, 2), "-")</f>
        <v>128.34</v>
      </c>
      <c r="L191" s="16">
        <f>IF(AND(800&gt;=$E191, 800&lt;=$F191), ROUND(Cp_Database_200!$F191 + Cp_Database_200!$G191*0.8 + Cp_Database_200!$H191*0.64 + Cp_Database_200!$I191*0.512 + Cp_Database_200!$J191/0.64, 2), "-")</f>
        <v>129.30000000000001</v>
      </c>
      <c r="M191" s="16">
        <f>IF(AND(1000&gt;=$E191, 1000&lt;=$F191), ROUND(Cp_Database_200!$F191 + Cp_Database_200!$G191*1 + Cp_Database_200!$H191*1 + Cp_Database_200!$I191*1 + Cp_Database_200!$J191/1, 2), "-")</f>
        <v>130.5</v>
      </c>
      <c r="N191" s="16">
        <f>IF(AND(1200&gt;=$E191, 1200&lt;=$F191), ROUND(Cp_Database_200!$F191 + Cp_Database_200!$G191*1.2 + Cp_Database_200!$H191*1.44 + Cp_Database_200!$I191*1.728 + Cp_Database_200!$J191/1.44, 2), "-")</f>
        <v>131.22</v>
      </c>
      <c r="O191" s="16">
        <f>IF(AND(1500&gt;=$E191, 1500&lt;=$F191), ROUND(Cp_Database_200!$F191 + Cp_Database_200!$G191*1.5 + Cp_Database_200!$H191*2.25 + Cp_Database_200!$I191*3.375 + Cp_Database_200!$J191/2.25, 2), "-")</f>
        <v>131.87</v>
      </c>
      <c r="P191" s="16">
        <f>IF(AND(2000&gt;=$E191, 2000&lt;=$F191), ROUND(Cp_Database_200!$F191 + Cp_Database_200!$G191*2 + Cp_Database_200!$H191*4 + Cp_Database_200!$I191*8 + Cp_Database_200!$J191/4, 2), "-")</f>
        <v>132.46</v>
      </c>
    </row>
    <row r="192" spans="1:16" ht="15" x14ac:dyDescent="0.3">
      <c r="A192" s="2">
        <f>Cp_Database_200!A192</f>
        <v>191</v>
      </c>
      <c r="B192" s="3" t="str">
        <f>Cp_Database_200!B192</f>
        <v>Phosphorus Oxychloride</v>
      </c>
      <c r="C192" s="4" t="str">
        <f>Cp_Database_200!C192</f>
        <v>POCl3</v>
      </c>
      <c r="D192" s="3" t="str">
        <f>Cp_Database_200!E192</f>
        <v>Technological Fluid &amp; Gas</v>
      </c>
      <c r="E192" s="6">
        <f>Cp_Database_200!K192</f>
        <v>298</v>
      </c>
      <c r="F192" s="6">
        <f>Cp_Database_200!L192</f>
        <v>1000</v>
      </c>
      <c r="G192" s="15">
        <f>IF(AND(298.15&gt;=$E192, 298.15&lt;=$F192), ROUND(Cp_Database_200!$F192 + Cp_Database_200!$G192*0.29815 + Cp_Database_200!$H192*0.08889342 + Cp_Database_200!$I192*0.02650357 + Cp_Database_200!$J192/0.08889342, 2), "-")</f>
        <v>84.91</v>
      </c>
      <c r="H192" s="15">
        <f>IF(AND(400&gt;=$E192, 400&lt;=$F192), ROUND(Cp_Database_200!$F192 + Cp_Database_200!$G192*0.4 + Cp_Database_200!$H192*0.16 + Cp_Database_200!$I192*0.064 + Cp_Database_200!$J192/0.16, 2), "-")</f>
        <v>91.96</v>
      </c>
      <c r="I192" s="15">
        <f>IF(AND(500&gt;=$E192, 500&lt;=$F192), ROUND(Cp_Database_200!$F192 + Cp_Database_200!$G192*0.5 + Cp_Database_200!$H192*0.25 + Cp_Database_200!$I192*0.125 + Cp_Database_200!$J192/0.25, 2), "-")</f>
        <v>96.24</v>
      </c>
      <c r="J192" s="15">
        <f>IF(AND(600&gt;=$E192, 600&lt;=$F192), ROUND(Cp_Database_200!$F192 + Cp_Database_200!$G192*0.6 + Cp_Database_200!$H192*0.36 + Cp_Database_200!$I192*0.216 + Cp_Database_200!$J192/0.36, 2), "-")</f>
        <v>99.12</v>
      </c>
      <c r="K192" s="15">
        <f>IF(AND(700&gt;=$E192, 700&lt;=$F192), ROUND(Cp_Database_200!$F192 + Cp_Database_200!$G192*0.7 + Cp_Database_200!$H192*0.49 + Cp_Database_200!$I192*0.343 + Cp_Database_200!$J192/0.49, 2), "-")</f>
        <v>101.11</v>
      </c>
      <c r="L192" s="15">
        <f>IF(AND(800&gt;=$E192, 800&lt;=$F192), ROUND(Cp_Database_200!$F192 + Cp_Database_200!$G192*0.8 + Cp_Database_200!$H192*0.64 + Cp_Database_200!$I192*0.512 + Cp_Database_200!$J192/0.64, 2), "-")</f>
        <v>102.51</v>
      </c>
      <c r="M192" s="15">
        <f>IF(AND(1000&gt;=$E192, 1000&lt;=$F192), ROUND(Cp_Database_200!$F192 + Cp_Database_200!$G192*1 + Cp_Database_200!$H192*1 + Cp_Database_200!$I192*1 + Cp_Database_200!$J192/1, 2), "-")</f>
        <v>104.33</v>
      </c>
      <c r="N192" s="15" t="str">
        <f>IF(AND(1200&gt;=$E192, 1200&lt;=$F192), ROUND(Cp_Database_200!$F192 + Cp_Database_200!$G192*1.2 + Cp_Database_200!$H192*1.44 + Cp_Database_200!$I192*1.728 + Cp_Database_200!$J192/1.44, 2), "-")</f>
        <v>-</v>
      </c>
      <c r="O192" s="15" t="str">
        <f>IF(AND(1500&gt;=$E192, 1500&lt;=$F192), ROUND(Cp_Database_200!$F192 + Cp_Database_200!$G192*1.5 + Cp_Database_200!$H192*2.25 + Cp_Database_200!$I192*3.375 + Cp_Database_200!$J192/2.25, 2), "-")</f>
        <v>-</v>
      </c>
      <c r="P192" s="15" t="str">
        <f>IF(AND(2000&gt;=$E192, 2000&lt;=$F192), ROUND(Cp_Database_200!$F192 + Cp_Database_200!$G192*2 + Cp_Database_200!$H192*4 + Cp_Database_200!$I192*8 + Cp_Database_200!$J192/4, 2), "-")</f>
        <v>-</v>
      </c>
    </row>
    <row r="193" spans="1:16" ht="15" x14ac:dyDescent="0.3">
      <c r="A193" s="8">
        <f>Cp_Database_200!A193</f>
        <v>192</v>
      </c>
      <c r="B193" s="9" t="str">
        <f>Cp_Database_200!B193</f>
        <v>Sulfuryl Chloride</v>
      </c>
      <c r="C193" s="10" t="str">
        <f>Cp_Database_200!C193</f>
        <v>SO2Cl2</v>
      </c>
      <c r="D193" s="9" t="str">
        <f>Cp_Database_200!E193</f>
        <v>Halide &amp; Salt</v>
      </c>
      <c r="E193" s="12">
        <f>Cp_Database_200!K193</f>
        <v>298</v>
      </c>
      <c r="F193" s="12">
        <f>Cp_Database_200!L193</f>
        <v>1100</v>
      </c>
      <c r="G193" s="16">
        <f>IF(AND(298.15&gt;=$E193, 298.15&lt;=$F193), ROUND(Cp_Database_200!$F193 + Cp_Database_200!$G193*0.29815 + Cp_Database_200!$H193*0.08889342 + Cp_Database_200!$I193*0.02650357 + Cp_Database_200!$J193/0.08889342, 2), "-")</f>
        <v>77.08</v>
      </c>
      <c r="H193" s="16">
        <f>IF(AND(400&gt;=$E193, 400&lt;=$F193), ROUND(Cp_Database_200!$F193 + Cp_Database_200!$G193*0.4 + Cp_Database_200!$H193*0.16 + Cp_Database_200!$I193*0.064 + Cp_Database_200!$J193/0.16, 2), "-")</f>
        <v>85.23</v>
      </c>
      <c r="I193" s="16">
        <f>IF(AND(500&gt;=$E193, 500&lt;=$F193), ROUND(Cp_Database_200!$F193 + Cp_Database_200!$G193*0.5 + Cp_Database_200!$H193*0.25 + Cp_Database_200!$I193*0.125 + Cp_Database_200!$J193/0.25, 2), "-")</f>
        <v>90.63</v>
      </c>
      <c r="J193" s="16">
        <f>IF(AND(600&gt;=$E193, 600&lt;=$F193), ROUND(Cp_Database_200!$F193 + Cp_Database_200!$G193*0.6 + Cp_Database_200!$H193*0.36 + Cp_Database_200!$I193*0.216 + Cp_Database_200!$J193/0.36, 2), "-")</f>
        <v>94.51</v>
      </c>
      <c r="K193" s="16">
        <f>IF(AND(700&gt;=$E193, 700&lt;=$F193), ROUND(Cp_Database_200!$F193 + Cp_Database_200!$G193*0.7 + Cp_Database_200!$H193*0.49 + Cp_Database_200!$I193*0.343 + Cp_Database_200!$J193/0.49, 2), "-")</f>
        <v>97.34</v>
      </c>
      <c r="L193" s="16">
        <f>IF(AND(800&gt;=$E193, 800&lt;=$F193), ROUND(Cp_Database_200!$F193 + Cp_Database_200!$G193*0.8 + Cp_Database_200!$H193*0.64 + Cp_Database_200!$I193*0.512 + Cp_Database_200!$J193/0.64, 2), "-")</f>
        <v>99.41</v>
      </c>
      <c r="M193" s="16">
        <f>IF(AND(1000&gt;=$E193, 1000&lt;=$F193), ROUND(Cp_Database_200!$F193 + Cp_Database_200!$G193*1 + Cp_Database_200!$H193*1 + Cp_Database_200!$I193*1 + Cp_Database_200!$J193/1, 2), "-")</f>
        <v>102.09</v>
      </c>
      <c r="N193" s="16" t="str">
        <f>IF(AND(1200&gt;=$E193, 1200&lt;=$F193), ROUND(Cp_Database_200!$F193 + Cp_Database_200!$G193*1.2 + Cp_Database_200!$H193*1.44 + Cp_Database_200!$I193*1.728 + Cp_Database_200!$J193/1.44, 2), "-")</f>
        <v>-</v>
      </c>
      <c r="O193" s="16" t="str">
        <f>IF(AND(1500&gt;=$E193, 1500&lt;=$F193), ROUND(Cp_Database_200!$F193 + Cp_Database_200!$G193*1.5 + Cp_Database_200!$H193*2.25 + Cp_Database_200!$I193*3.375 + Cp_Database_200!$J193/2.25, 2), "-")</f>
        <v>-</v>
      </c>
      <c r="P193" s="16" t="str">
        <f>IF(AND(2000&gt;=$E193, 2000&lt;=$F193), ROUND(Cp_Database_200!$F193 + Cp_Database_200!$G193*2 + Cp_Database_200!$H193*4 + Cp_Database_200!$I193*8 + Cp_Database_200!$J193/4, 2), "-")</f>
        <v>-</v>
      </c>
    </row>
    <row r="194" spans="1:16" ht="15" x14ac:dyDescent="0.3">
      <c r="A194" s="2">
        <f>Cp_Database_200!A194</f>
        <v>193</v>
      </c>
      <c r="B194" s="3" t="str">
        <f>Cp_Database_200!B194</f>
        <v>Sulfur Tetrafluoride</v>
      </c>
      <c r="C194" s="4" t="str">
        <f>Cp_Database_200!C194</f>
        <v>SF4</v>
      </c>
      <c r="D194" s="3" t="str">
        <f>Cp_Database_200!E194</f>
        <v>Halide &amp; Salt</v>
      </c>
      <c r="E194" s="6">
        <f>Cp_Database_200!K194</f>
        <v>298</v>
      </c>
      <c r="F194" s="6">
        <f>Cp_Database_200!L194</f>
        <v>600</v>
      </c>
      <c r="G194" s="15">
        <f>IF(AND(298.15&gt;=$E194, 298.15&lt;=$F194), ROUND(Cp_Database_200!$F194 + Cp_Database_200!$G194*0.29815 + Cp_Database_200!$H194*0.08889342 + Cp_Database_200!$I194*0.02650357 + Cp_Database_200!$J194/0.08889342, 2), "-")</f>
        <v>77.599999999999994</v>
      </c>
      <c r="H194" s="15">
        <f>IF(AND(400&gt;=$E194, 400&lt;=$F194), ROUND(Cp_Database_200!$F194 + Cp_Database_200!$G194*0.4 + Cp_Database_200!$H194*0.16 + Cp_Database_200!$I194*0.064 + Cp_Database_200!$J194/0.16, 2), "-")</f>
        <v>87.5</v>
      </c>
      <c r="I194" s="15">
        <f>IF(AND(500&gt;=$E194, 500&lt;=$F194), ROUND(Cp_Database_200!$F194 + Cp_Database_200!$G194*0.5 + Cp_Database_200!$H194*0.25 + Cp_Database_200!$I194*0.125 + Cp_Database_200!$J194/0.25, 2), "-")</f>
        <v>93.5</v>
      </c>
      <c r="J194" s="15">
        <f>IF(AND(600&gt;=$E194, 600&lt;=$F194), ROUND(Cp_Database_200!$F194 + Cp_Database_200!$G194*0.6 + Cp_Database_200!$H194*0.36 + Cp_Database_200!$I194*0.216 + Cp_Database_200!$J194/0.36, 2), "-")</f>
        <v>97.34</v>
      </c>
      <c r="K194" s="15" t="str">
        <f>IF(AND(700&gt;=$E194, 700&lt;=$F194), ROUND(Cp_Database_200!$F194 + Cp_Database_200!$G194*0.7 + Cp_Database_200!$H194*0.49 + Cp_Database_200!$I194*0.343 + Cp_Database_200!$J194/0.49, 2), "-")</f>
        <v>-</v>
      </c>
      <c r="L194" s="15" t="str">
        <f>IF(AND(800&gt;=$E194, 800&lt;=$F194), ROUND(Cp_Database_200!$F194 + Cp_Database_200!$G194*0.8 + Cp_Database_200!$H194*0.64 + Cp_Database_200!$I194*0.512 + Cp_Database_200!$J194/0.64, 2), "-")</f>
        <v>-</v>
      </c>
      <c r="M194" s="15" t="str">
        <f>IF(AND(1000&gt;=$E194, 1000&lt;=$F194), ROUND(Cp_Database_200!$F194 + Cp_Database_200!$G194*1 + Cp_Database_200!$H194*1 + Cp_Database_200!$I194*1 + Cp_Database_200!$J194/1, 2), "-")</f>
        <v>-</v>
      </c>
      <c r="N194" s="15" t="str">
        <f>IF(AND(1200&gt;=$E194, 1200&lt;=$F194), ROUND(Cp_Database_200!$F194 + Cp_Database_200!$G194*1.2 + Cp_Database_200!$H194*1.44 + Cp_Database_200!$I194*1.728 + Cp_Database_200!$J194/1.44, 2), "-")</f>
        <v>-</v>
      </c>
      <c r="O194" s="15" t="str">
        <f>IF(AND(1500&gt;=$E194, 1500&lt;=$F194), ROUND(Cp_Database_200!$F194 + Cp_Database_200!$G194*1.5 + Cp_Database_200!$H194*2.25 + Cp_Database_200!$I194*3.375 + Cp_Database_200!$J194/2.25, 2), "-")</f>
        <v>-</v>
      </c>
      <c r="P194" s="15" t="str">
        <f>IF(AND(2000&gt;=$E194, 2000&lt;=$F194), ROUND(Cp_Database_200!$F194 + Cp_Database_200!$G194*2 + Cp_Database_200!$H194*4 + Cp_Database_200!$I194*8 + Cp_Database_200!$J194/4, 2), "-")</f>
        <v>-</v>
      </c>
    </row>
    <row r="195" spans="1:16" ht="15" x14ac:dyDescent="0.3">
      <c r="A195" s="8">
        <f>Cp_Database_200!A195</f>
        <v>194</v>
      </c>
      <c r="B195" s="9" t="str">
        <f>Cp_Database_200!B195</f>
        <v>Molybdenum Hexafluoride</v>
      </c>
      <c r="C195" s="10" t="str">
        <f>Cp_Database_200!C195</f>
        <v>MoF6</v>
      </c>
      <c r="D195" s="9" t="str">
        <f>Cp_Database_200!E195</f>
        <v>Technological Fluid &amp; Gas</v>
      </c>
      <c r="E195" s="12">
        <f>Cp_Database_200!K195</f>
        <v>298</v>
      </c>
      <c r="F195" s="12">
        <f>Cp_Database_200!L195</f>
        <v>1000</v>
      </c>
      <c r="G195" s="16">
        <f>IF(AND(298.15&gt;=$E195, 298.15&lt;=$F195), ROUND(Cp_Database_200!$F195 + Cp_Database_200!$G195*0.29815 + Cp_Database_200!$H195*0.08889342 + Cp_Database_200!$I195*0.02650357 + Cp_Database_200!$J195/0.08889342, 2), "-")</f>
        <v>169.8</v>
      </c>
      <c r="H195" s="16">
        <f>IF(AND(400&gt;=$E195, 400&lt;=$F195), ROUND(Cp_Database_200!$F195 + Cp_Database_200!$G195*0.4 + Cp_Database_200!$H195*0.16 + Cp_Database_200!$I195*0.064 + Cp_Database_200!$J195/0.16, 2), "-")</f>
        <v>187.51</v>
      </c>
      <c r="I195" s="16">
        <f>IF(AND(500&gt;=$E195, 500&lt;=$F195), ROUND(Cp_Database_200!$F195 + Cp_Database_200!$G195*0.5 + Cp_Database_200!$H195*0.25 + Cp_Database_200!$I195*0.125 + Cp_Database_200!$J195/0.25, 2), "-")</f>
        <v>204.91</v>
      </c>
      <c r="J195" s="16">
        <f>IF(AND(600&gt;=$E195, 600&lt;=$F195), ROUND(Cp_Database_200!$F195 + Cp_Database_200!$G195*0.6 + Cp_Database_200!$H195*0.36 + Cp_Database_200!$I195*0.216 + Cp_Database_200!$J195/0.36, 2), "-")</f>
        <v>222.3</v>
      </c>
      <c r="K195" s="16">
        <f>IF(AND(700&gt;=$E195, 700&lt;=$F195), ROUND(Cp_Database_200!$F195 + Cp_Database_200!$G195*0.7 + Cp_Database_200!$H195*0.49 + Cp_Database_200!$I195*0.343 + Cp_Database_200!$J195/0.49, 2), "-")</f>
        <v>239.7</v>
      </c>
      <c r="L195" s="16">
        <f>IF(AND(800&gt;=$E195, 800&lt;=$F195), ROUND(Cp_Database_200!$F195 + Cp_Database_200!$G195*0.8 + Cp_Database_200!$H195*0.64 + Cp_Database_200!$I195*0.512 + Cp_Database_200!$J195/0.64, 2), "-")</f>
        <v>257.08999999999997</v>
      </c>
      <c r="M195" s="16">
        <f>IF(AND(1000&gt;=$E195, 1000&lt;=$F195), ROUND(Cp_Database_200!$F195 + Cp_Database_200!$G195*1 + Cp_Database_200!$H195*1 + Cp_Database_200!$I195*1 + Cp_Database_200!$J195/1, 2), "-")</f>
        <v>291.88</v>
      </c>
      <c r="N195" s="16" t="str">
        <f>IF(AND(1200&gt;=$E195, 1200&lt;=$F195), ROUND(Cp_Database_200!$F195 + Cp_Database_200!$G195*1.2 + Cp_Database_200!$H195*1.44 + Cp_Database_200!$I195*1.728 + Cp_Database_200!$J195/1.44, 2), "-")</f>
        <v>-</v>
      </c>
      <c r="O195" s="16" t="str">
        <f>IF(AND(1500&gt;=$E195, 1500&lt;=$F195), ROUND(Cp_Database_200!$F195 + Cp_Database_200!$G195*1.5 + Cp_Database_200!$H195*2.25 + Cp_Database_200!$I195*3.375 + Cp_Database_200!$J195/2.25, 2), "-")</f>
        <v>-</v>
      </c>
      <c r="P195" s="16" t="str">
        <f>IF(AND(2000&gt;=$E195, 2000&lt;=$F195), ROUND(Cp_Database_200!$F195 + Cp_Database_200!$G195*2 + Cp_Database_200!$H195*4 + Cp_Database_200!$I195*8 + Cp_Database_200!$J195/4, 2), "-")</f>
        <v>-</v>
      </c>
    </row>
    <row r="196" spans="1:16" ht="15" x14ac:dyDescent="0.3">
      <c r="A196" s="2">
        <f>Cp_Database_200!A196</f>
        <v>195</v>
      </c>
      <c r="B196" s="3" t="str">
        <f>Cp_Database_200!B196</f>
        <v>Tungsten Hexafluoride</v>
      </c>
      <c r="C196" s="4" t="str">
        <f>Cp_Database_200!C196</f>
        <v>WF6</v>
      </c>
      <c r="D196" s="3" t="str">
        <f>Cp_Database_200!E196</f>
        <v>Halide &amp; Salt</v>
      </c>
      <c r="E196" s="6">
        <f>Cp_Database_200!K196</f>
        <v>298</v>
      </c>
      <c r="F196" s="6">
        <f>Cp_Database_200!L196</f>
        <v>1000</v>
      </c>
      <c r="G196" s="15">
        <f>IF(AND(298.15&gt;=$E196, 298.15&lt;=$F196), ROUND(Cp_Database_200!$F196 + Cp_Database_200!$G196*0.29815 + Cp_Database_200!$H196*0.08889342 + Cp_Database_200!$I196*0.02650357 + Cp_Database_200!$J196/0.08889342, 2), "-")</f>
        <v>169.45</v>
      </c>
      <c r="H196" s="15">
        <f>IF(AND(400&gt;=$E196, 400&lt;=$F196), ROUND(Cp_Database_200!$F196 + Cp_Database_200!$G196*0.4 + Cp_Database_200!$H196*0.16 + Cp_Database_200!$I196*0.064 + Cp_Database_200!$J196/0.16, 2), "-")</f>
        <v>169.45</v>
      </c>
      <c r="I196" s="15">
        <f>IF(AND(500&gt;=$E196, 500&lt;=$F196), ROUND(Cp_Database_200!$F196 + Cp_Database_200!$G196*0.5 + Cp_Database_200!$H196*0.25 + Cp_Database_200!$I196*0.125 + Cp_Database_200!$J196/0.25, 2), "-")</f>
        <v>169.45</v>
      </c>
      <c r="J196" s="15">
        <f>IF(AND(600&gt;=$E196, 600&lt;=$F196), ROUND(Cp_Database_200!$F196 + Cp_Database_200!$G196*0.6 + Cp_Database_200!$H196*0.36 + Cp_Database_200!$I196*0.216 + Cp_Database_200!$J196/0.36, 2), "-")</f>
        <v>169.45</v>
      </c>
      <c r="K196" s="15">
        <f>IF(AND(700&gt;=$E196, 700&lt;=$F196), ROUND(Cp_Database_200!$F196 + Cp_Database_200!$G196*0.7 + Cp_Database_200!$H196*0.49 + Cp_Database_200!$I196*0.343 + Cp_Database_200!$J196/0.49, 2), "-")</f>
        <v>169.45</v>
      </c>
      <c r="L196" s="15">
        <f>IF(AND(800&gt;=$E196, 800&lt;=$F196), ROUND(Cp_Database_200!$F196 + Cp_Database_200!$G196*0.8 + Cp_Database_200!$H196*0.64 + Cp_Database_200!$I196*0.512 + Cp_Database_200!$J196/0.64, 2), "-")</f>
        <v>169.45</v>
      </c>
      <c r="M196" s="15">
        <f>IF(AND(1000&gt;=$E196, 1000&lt;=$F196), ROUND(Cp_Database_200!$F196 + Cp_Database_200!$G196*1 + Cp_Database_200!$H196*1 + Cp_Database_200!$I196*1 + Cp_Database_200!$J196/1, 2), "-")</f>
        <v>169.45</v>
      </c>
      <c r="N196" s="15" t="str">
        <f>IF(AND(1200&gt;=$E196, 1200&lt;=$F196), ROUND(Cp_Database_200!$F196 + Cp_Database_200!$G196*1.2 + Cp_Database_200!$H196*1.44 + Cp_Database_200!$I196*1.728 + Cp_Database_200!$J196/1.44, 2), "-")</f>
        <v>-</v>
      </c>
      <c r="O196" s="15" t="str">
        <f>IF(AND(1500&gt;=$E196, 1500&lt;=$F196), ROUND(Cp_Database_200!$F196 + Cp_Database_200!$G196*1.5 + Cp_Database_200!$H196*2.25 + Cp_Database_200!$I196*3.375 + Cp_Database_200!$J196/2.25, 2), "-")</f>
        <v>-</v>
      </c>
      <c r="P196" s="15" t="str">
        <f>IF(AND(2000&gt;=$E196, 2000&lt;=$F196), ROUND(Cp_Database_200!$F196 + Cp_Database_200!$G196*2 + Cp_Database_200!$H196*4 + Cp_Database_200!$I196*8 + Cp_Database_200!$J196/4, 2), "-")</f>
        <v>-</v>
      </c>
    </row>
    <row r="197" spans="1:16" ht="15" x14ac:dyDescent="0.3">
      <c r="A197" s="8">
        <f>Cp_Database_200!A197</f>
        <v>196</v>
      </c>
      <c r="B197" s="9" t="str">
        <f>Cp_Database_200!B197</f>
        <v>Boron (beta-rhombohedral)</v>
      </c>
      <c r="C197" s="10" t="str">
        <f>Cp_Database_200!C197</f>
        <v>B</v>
      </c>
      <c r="D197" s="9" t="str">
        <f>Cp_Database_200!E197</f>
        <v>Semiconductor</v>
      </c>
      <c r="E197" s="12">
        <f>Cp_Database_200!K197</f>
        <v>298</v>
      </c>
      <c r="F197" s="12">
        <f>Cp_Database_200!L197</f>
        <v>1800</v>
      </c>
      <c r="G197" s="16">
        <f>IF(AND(298.15&gt;=$E197, 298.15&lt;=$F197), ROUND(Cp_Database_200!$F197 + Cp_Database_200!$G197*0.29815 + Cp_Database_200!$H197*0.08889342 + Cp_Database_200!$I197*0.02650357 + Cp_Database_200!$J197/0.08889342, 2), "-")</f>
        <v>11.22</v>
      </c>
      <c r="H197" s="16">
        <f>IF(AND(400&gt;=$E197, 400&lt;=$F197), ROUND(Cp_Database_200!$F197 + Cp_Database_200!$G197*0.4 + Cp_Database_200!$H197*0.16 + Cp_Database_200!$I197*0.064 + Cp_Database_200!$J197/0.16, 2), "-")</f>
        <v>15.83</v>
      </c>
      <c r="I197" s="16">
        <f>IF(AND(500&gt;=$E197, 500&lt;=$F197), ROUND(Cp_Database_200!$F197 + Cp_Database_200!$G197*0.5 + Cp_Database_200!$H197*0.25 + Cp_Database_200!$I197*0.125 + Cp_Database_200!$J197/0.25, 2), "-")</f>
        <v>18.63</v>
      </c>
      <c r="J197" s="16">
        <f>IF(AND(600&gt;=$E197, 600&lt;=$F197), ROUND(Cp_Database_200!$F197 + Cp_Database_200!$G197*0.6 + Cp_Database_200!$H197*0.36 + Cp_Database_200!$I197*0.216 + Cp_Database_200!$J197/0.36, 2), "-")</f>
        <v>20.62</v>
      </c>
      <c r="K197" s="16">
        <f>IF(AND(700&gt;=$E197, 700&lt;=$F197), ROUND(Cp_Database_200!$F197 + Cp_Database_200!$G197*0.7 + Cp_Database_200!$H197*0.49 + Cp_Database_200!$I197*0.343 + Cp_Database_200!$J197/0.49, 2), "-")</f>
        <v>22.15</v>
      </c>
      <c r="L197" s="16">
        <f>IF(AND(800&gt;=$E197, 800&lt;=$F197), ROUND(Cp_Database_200!$F197 + Cp_Database_200!$G197*0.8 + Cp_Database_200!$H197*0.64 + Cp_Database_200!$I197*0.512 + Cp_Database_200!$J197/0.64, 2), "-")</f>
        <v>23.34</v>
      </c>
      <c r="M197" s="16">
        <f>IF(AND(1000&gt;=$E197, 1000&lt;=$F197), ROUND(Cp_Database_200!$F197 + Cp_Database_200!$G197*1 + Cp_Database_200!$H197*1 + Cp_Database_200!$I197*1 + Cp_Database_200!$J197/1, 2), "-")</f>
        <v>25.07</v>
      </c>
      <c r="N197" s="16">
        <f>IF(AND(1200&gt;=$E197, 1200&lt;=$F197), ROUND(Cp_Database_200!$F197 + Cp_Database_200!$G197*1.2 + Cp_Database_200!$H197*1.44 + Cp_Database_200!$I197*1.728 + Cp_Database_200!$J197/1.44, 2), "-")</f>
        <v>26.22</v>
      </c>
      <c r="O197" s="16">
        <f>IF(AND(1500&gt;=$E197, 1500&lt;=$F197), ROUND(Cp_Database_200!$F197 + Cp_Database_200!$G197*1.5 + Cp_Database_200!$H197*2.25 + Cp_Database_200!$I197*3.375 + Cp_Database_200!$J197/2.25, 2), "-")</f>
        <v>27.48</v>
      </c>
      <c r="P197" s="16" t="str">
        <f>IF(AND(2000&gt;=$E197, 2000&lt;=$F197), ROUND(Cp_Database_200!$F197 + Cp_Database_200!$G197*2 + Cp_Database_200!$H197*4 + Cp_Database_200!$I197*8 + Cp_Database_200!$J197/4, 2), "-")</f>
        <v>-</v>
      </c>
    </row>
    <row r="198" spans="1:16" ht="15" x14ac:dyDescent="0.3">
      <c r="A198" s="2">
        <f>Cp_Database_200!A198</f>
        <v>197</v>
      </c>
      <c r="B198" s="3" t="str">
        <f>Cp_Database_200!B198</f>
        <v>Phosphorus (white, alpha)</v>
      </c>
      <c r="C198" s="4" t="str">
        <f>Cp_Database_200!C198</f>
        <v>P4</v>
      </c>
      <c r="D198" s="3" t="str">
        <f>Cp_Database_200!E198</f>
        <v>Semiconductor</v>
      </c>
      <c r="E198" s="6">
        <f>Cp_Database_200!K198</f>
        <v>298</v>
      </c>
      <c r="F198" s="6">
        <f>Cp_Database_200!L198</f>
        <v>317.3</v>
      </c>
      <c r="G198" s="15">
        <f>IF(AND(298.15&gt;=$E198, 298.15&lt;=$F198), ROUND(Cp_Database_200!$F198 + Cp_Database_200!$G198*0.29815 + Cp_Database_200!$H198*0.08889342 + Cp_Database_200!$I198*0.02650357 + Cp_Database_200!$J198/0.08889342, 2), "-")</f>
        <v>21.19</v>
      </c>
      <c r="H198" s="15" t="str">
        <f>IF(AND(400&gt;=$E198, 400&lt;=$F198), ROUND(Cp_Database_200!$F198 + Cp_Database_200!$G198*0.4 + Cp_Database_200!$H198*0.16 + Cp_Database_200!$I198*0.064 + Cp_Database_200!$J198/0.16, 2), "-")</f>
        <v>-</v>
      </c>
      <c r="I198" s="15" t="str">
        <f>IF(AND(500&gt;=$E198, 500&lt;=$F198), ROUND(Cp_Database_200!$F198 + Cp_Database_200!$G198*0.5 + Cp_Database_200!$H198*0.25 + Cp_Database_200!$I198*0.125 + Cp_Database_200!$J198/0.25, 2), "-")</f>
        <v>-</v>
      </c>
      <c r="J198" s="15" t="str">
        <f>IF(AND(600&gt;=$E198, 600&lt;=$F198), ROUND(Cp_Database_200!$F198 + Cp_Database_200!$G198*0.6 + Cp_Database_200!$H198*0.36 + Cp_Database_200!$I198*0.216 + Cp_Database_200!$J198/0.36, 2), "-")</f>
        <v>-</v>
      </c>
      <c r="K198" s="15" t="str">
        <f>IF(AND(700&gt;=$E198, 700&lt;=$F198), ROUND(Cp_Database_200!$F198 + Cp_Database_200!$G198*0.7 + Cp_Database_200!$H198*0.49 + Cp_Database_200!$I198*0.343 + Cp_Database_200!$J198/0.49, 2), "-")</f>
        <v>-</v>
      </c>
      <c r="L198" s="15" t="str">
        <f>IF(AND(800&gt;=$E198, 800&lt;=$F198), ROUND(Cp_Database_200!$F198 + Cp_Database_200!$G198*0.8 + Cp_Database_200!$H198*0.64 + Cp_Database_200!$I198*0.512 + Cp_Database_200!$J198/0.64, 2), "-")</f>
        <v>-</v>
      </c>
      <c r="M198" s="15" t="str">
        <f>IF(AND(1000&gt;=$E198, 1000&lt;=$F198), ROUND(Cp_Database_200!$F198 + Cp_Database_200!$G198*1 + Cp_Database_200!$H198*1 + Cp_Database_200!$I198*1 + Cp_Database_200!$J198/1, 2), "-")</f>
        <v>-</v>
      </c>
      <c r="N198" s="15" t="str">
        <f>IF(AND(1200&gt;=$E198, 1200&lt;=$F198), ROUND(Cp_Database_200!$F198 + Cp_Database_200!$G198*1.2 + Cp_Database_200!$H198*1.44 + Cp_Database_200!$I198*1.728 + Cp_Database_200!$J198/1.44, 2), "-")</f>
        <v>-</v>
      </c>
      <c r="O198" s="15" t="str">
        <f>IF(AND(1500&gt;=$E198, 1500&lt;=$F198), ROUND(Cp_Database_200!$F198 + Cp_Database_200!$G198*1.5 + Cp_Database_200!$H198*2.25 + Cp_Database_200!$I198*3.375 + Cp_Database_200!$J198/2.25, 2), "-")</f>
        <v>-</v>
      </c>
      <c r="P198" s="15" t="str">
        <f>IF(AND(2000&gt;=$E198, 2000&lt;=$F198), ROUND(Cp_Database_200!$F198 + Cp_Database_200!$G198*2 + Cp_Database_200!$H198*4 + Cp_Database_200!$I198*8 + Cp_Database_200!$J198/4, 2), "-")</f>
        <v>-</v>
      </c>
    </row>
    <row r="199" spans="1:16" ht="15" x14ac:dyDescent="0.3">
      <c r="A199" s="8">
        <f>Cp_Database_200!A199</f>
        <v>198</v>
      </c>
      <c r="B199" s="9" t="str">
        <f>Cp_Database_200!B199</f>
        <v>Sulfur (rhombic, alpha)</v>
      </c>
      <c r="C199" s="10" t="str">
        <f>Cp_Database_200!C199</f>
        <v>S8</v>
      </c>
      <c r="D199" s="9" t="str">
        <f>Cp_Database_200!E199</f>
        <v>Semiconductor</v>
      </c>
      <c r="E199" s="12">
        <f>Cp_Database_200!K199</f>
        <v>298</v>
      </c>
      <c r="F199" s="12">
        <f>Cp_Database_200!L199</f>
        <v>388.36</v>
      </c>
      <c r="G199" s="16">
        <f>IF(AND(298.15&gt;=$E199, 298.15&lt;=$F199), ROUND(Cp_Database_200!$F199 + Cp_Database_200!$G199*0.29815 + Cp_Database_200!$H199*0.08889342 + Cp_Database_200!$I199*0.02650357 + Cp_Database_200!$J199/0.08889342, 2), "-")</f>
        <v>22.7</v>
      </c>
      <c r="H199" s="16" t="str">
        <f>IF(AND(400&gt;=$E199, 400&lt;=$F199), ROUND(Cp_Database_200!$F199 + Cp_Database_200!$G199*0.4 + Cp_Database_200!$H199*0.16 + Cp_Database_200!$I199*0.064 + Cp_Database_200!$J199/0.16, 2), "-")</f>
        <v>-</v>
      </c>
      <c r="I199" s="16" t="str">
        <f>IF(AND(500&gt;=$E199, 500&lt;=$F199), ROUND(Cp_Database_200!$F199 + Cp_Database_200!$G199*0.5 + Cp_Database_200!$H199*0.25 + Cp_Database_200!$I199*0.125 + Cp_Database_200!$J199/0.25, 2), "-")</f>
        <v>-</v>
      </c>
      <c r="J199" s="16" t="str">
        <f>IF(AND(600&gt;=$E199, 600&lt;=$F199), ROUND(Cp_Database_200!$F199 + Cp_Database_200!$G199*0.6 + Cp_Database_200!$H199*0.36 + Cp_Database_200!$I199*0.216 + Cp_Database_200!$J199/0.36, 2), "-")</f>
        <v>-</v>
      </c>
      <c r="K199" s="16" t="str">
        <f>IF(AND(700&gt;=$E199, 700&lt;=$F199), ROUND(Cp_Database_200!$F199 + Cp_Database_200!$G199*0.7 + Cp_Database_200!$H199*0.49 + Cp_Database_200!$I199*0.343 + Cp_Database_200!$J199/0.49, 2), "-")</f>
        <v>-</v>
      </c>
      <c r="L199" s="16" t="str">
        <f>IF(AND(800&gt;=$E199, 800&lt;=$F199), ROUND(Cp_Database_200!$F199 + Cp_Database_200!$G199*0.8 + Cp_Database_200!$H199*0.64 + Cp_Database_200!$I199*0.512 + Cp_Database_200!$J199/0.64, 2), "-")</f>
        <v>-</v>
      </c>
      <c r="M199" s="16" t="str">
        <f>IF(AND(1000&gt;=$E199, 1000&lt;=$F199), ROUND(Cp_Database_200!$F199 + Cp_Database_200!$G199*1 + Cp_Database_200!$H199*1 + Cp_Database_200!$I199*1 + Cp_Database_200!$J199/1, 2), "-")</f>
        <v>-</v>
      </c>
      <c r="N199" s="16" t="str">
        <f>IF(AND(1200&gt;=$E199, 1200&lt;=$F199), ROUND(Cp_Database_200!$F199 + Cp_Database_200!$G199*1.2 + Cp_Database_200!$H199*1.44 + Cp_Database_200!$I199*1.728 + Cp_Database_200!$J199/1.44, 2), "-")</f>
        <v>-</v>
      </c>
      <c r="O199" s="16" t="str">
        <f>IF(AND(1500&gt;=$E199, 1500&lt;=$F199), ROUND(Cp_Database_200!$F199 + Cp_Database_200!$G199*1.5 + Cp_Database_200!$H199*2.25 + Cp_Database_200!$I199*3.375 + Cp_Database_200!$J199/2.25, 2), "-")</f>
        <v>-</v>
      </c>
      <c r="P199" s="16" t="str">
        <f>IF(AND(2000&gt;=$E199, 2000&lt;=$F199), ROUND(Cp_Database_200!$F199 + Cp_Database_200!$G199*2 + Cp_Database_200!$H199*4 + Cp_Database_200!$I199*8 + Cp_Database_200!$J199/4, 2), "-")</f>
        <v>-</v>
      </c>
    </row>
    <row r="200" spans="1:16" ht="15" x14ac:dyDescent="0.3">
      <c r="A200" s="2">
        <f>Cp_Database_200!A200</f>
        <v>199</v>
      </c>
      <c r="B200" s="3" t="str">
        <f>Cp_Database_200!B200</f>
        <v>Iodine (solid, rhombic)</v>
      </c>
      <c r="C200" s="4" t="str">
        <f>Cp_Database_200!C200</f>
        <v>I2</v>
      </c>
      <c r="D200" s="3" t="str">
        <f>Cp_Database_200!E200</f>
        <v>Halide &amp; Salt</v>
      </c>
      <c r="E200" s="6">
        <f>Cp_Database_200!K200</f>
        <v>298</v>
      </c>
      <c r="F200" s="6">
        <f>Cp_Database_200!L200</f>
        <v>386.75</v>
      </c>
      <c r="G200" s="15">
        <f>IF(AND(298.15&gt;=$E200, 298.15&lt;=$F200), ROUND(Cp_Database_200!$F200 + Cp_Database_200!$G200*0.29815 + Cp_Database_200!$H200*0.08889342 + Cp_Database_200!$I200*0.02650357 + Cp_Database_200!$J200/0.08889342, 2), "-")</f>
        <v>54.44</v>
      </c>
      <c r="H200" s="15" t="str">
        <f>IF(AND(400&gt;=$E200, 400&lt;=$F200), ROUND(Cp_Database_200!$F200 + Cp_Database_200!$G200*0.4 + Cp_Database_200!$H200*0.16 + Cp_Database_200!$I200*0.064 + Cp_Database_200!$J200/0.16, 2), "-")</f>
        <v>-</v>
      </c>
      <c r="I200" s="15" t="str">
        <f>IF(AND(500&gt;=$E200, 500&lt;=$F200), ROUND(Cp_Database_200!$F200 + Cp_Database_200!$G200*0.5 + Cp_Database_200!$H200*0.25 + Cp_Database_200!$I200*0.125 + Cp_Database_200!$J200/0.25, 2), "-")</f>
        <v>-</v>
      </c>
      <c r="J200" s="15" t="str">
        <f>IF(AND(600&gt;=$E200, 600&lt;=$F200), ROUND(Cp_Database_200!$F200 + Cp_Database_200!$G200*0.6 + Cp_Database_200!$H200*0.36 + Cp_Database_200!$I200*0.216 + Cp_Database_200!$J200/0.36, 2), "-")</f>
        <v>-</v>
      </c>
      <c r="K200" s="15" t="str">
        <f>IF(AND(700&gt;=$E200, 700&lt;=$F200), ROUND(Cp_Database_200!$F200 + Cp_Database_200!$G200*0.7 + Cp_Database_200!$H200*0.49 + Cp_Database_200!$I200*0.343 + Cp_Database_200!$J200/0.49, 2), "-")</f>
        <v>-</v>
      </c>
      <c r="L200" s="15" t="str">
        <f>IF(AND(800&gt;=$E200, 800&lt;=$F200), ROUND(Cp_Database_200!$F200 + Cp_Database_200!$G200*0.8 + Cp_Database_200!$H200*0.64 + Cp_Database_200!$I200*0.512 + Cp_Database_200!$J200/0.64, 2), "-")</f>
        <v>-</v>
      </c>
      <c r="M200" s="15" t="str">
        <f>IF(AND(1000&gt;=$E200, 1000&lt;=$F200), ROUND(Cp_Database_200!$F200 + Cp_Database_200!$G200*1 + Cp_Database_200!$H200*1 + Cp_Database_200!$I200*1 + Cp_Database_200!$J200/1, 2), "-")</f>
        <v>-</v>
      </c>
      <c r="N200" s="15" t="str">
        <f>IF(AND(1200&gt;=$E200, 1200&lt;=$F200), ROUND(Cp_Database_200!$F200 + Cp_Database_200!$G200*1.2 + Cp_Database_200!$H200*1.44 + Cp_Database_200!$I200*1.728 + Cp_Database_200!$J200/1.44, 2), "-")</f>
        <v>-</v>
      </c>
      <c r="O200" s="15" t="str">
        <f>IF(AND(1500&gt;=$E200, 1500&lt;=$F200), ROUND(Cp_Database_200!$F200 + Cp_Database_200!$G200*1.5 + Cp_Database_200!$H200*2.25 + Cp_Database_200!$I200*3.375 + Cp_Database_200!$J200/2.25, 2), "-")</f>
        <v>-</v>
      </c>
      <c r="P200" s="15" t="str">
        <f>IF(AND(2000&gt;=$E200, 2000&lt;=$F200), ROUND(Cp_Database_200!$F200 + Cp_Database_200!$G200*2 + Cp_Database_200!$H200*4 + Cp_Database_200!$I200*8 + Cp_Database_200!$J200/4, 2), "-")</f>
        <v>-</v>
      </c>
    </row>
    <row r="201" spans="1:16" ht="15" x14ac:dyDescent="0.3">
      <c r="A201" s="8">
        <f>Cp_Database_200!A201</f>
        <v>200</v>
      </c>
      <c r="B201" s="9" t="str">
        <f>Cp_Database_200!B201</f>
        <v>Bromine</v>
      </c>
      <c r="C201" s="10" t="str">
        <f>Cp_Database_200!C201</f>
        <v>Br2</v>
      </c>
      <c r="D201" s="9" t="str">
        <f>Cp_Database_200!E201</f>
        <v>Halide &amp; Salt</v>
      </c>
      <c r="E201" s="12">
        <f>Cp_Database_200!K201</f>
        <v>332.50299999999999</v>
      </c>
      <c r="F201" s="12">
        <f>Cp_Database_200!L201</f>
        <v>3400</v>
      </c>
      <c r="G201" s="16" t="str">
        <f>IF(AND(298.15&gt;=$E201, 298.15&lt;=$F201), ROUND(Cp_Database_200!$F201 + Cp_Database_200!$G201*0.29815 + Cp_Database_200!$H201*0.08889342 + Cp_Database_200!$I201*0.02650357 + Cp_Database_200!$J201/0.08889342, 2), "-")</f>
        <v>-</v>
      </c>
      <c r="H201" s="16">
        <f>IF(AND(400&gt;=$E201, 400&lt;=$F201), ROUND(Cp_Database_200!$F201 + Cp_Database_200!$G201*0.4 + Cp_Database_200!$H201*0.16 + Cp_Database_200!$I201*0.064 + Cp_Database_200!$J201/0.16, 2), "-")</f>
        <v>36.81</v>
      </c>
      <c r="I201" s="16">
        <f>IF(AND(500&gt;=$E201, 500&lt;=$F201), ROUND(Cp_Database_200!$F201 + Cp_Database_200!$G201*0.5 + Cp_Database_200!$H201*0.25 + Cp_Database_200!$I201*0.125 + Cp_Database_200!$J201/0.25, 2), "-")</f>
        <v>37.15</v>
      </c>
      <c r="J201" s="16">
        <f>IF(AND(600&gt;=$E201, 600&lt;=$F201), ROUND(Cp_Database_200!$F201 + Cp_Database_200!$G201*0.6 + Cp_Database_200!$H201*0.36 + Cp_Database_200!$I201*0.216 + Cp_Database_200!$J201/0.36, 2), "-")</f>
        <v>37.33</v>
      </c>
      <c r="K201" s="16">
        <f>IF(AND(700&gt;=$E201, 700&lt;=$F201), ROUND(Cp_Database_200!$F201 + Cp_Database_200!$G201*0.7 + Cp_Database_200!$H201*0.49 + Cp_Database_200!$I201*0.343 + Cp_Database_200!$J201/0.49, 2), "-")</f>
        <v>37.44</v>
      </c>
      <c r="L201" s="16">
        <f>IF(AND(800&gt;=$E201, 800&lt;=$F201), ROUND(Cp_Database_200!$F201 + Cp_Database_200!$G201*0.8 + Cp_Database_200!$H201*0.64 + Cp_Database_200!$I201*0.512 + Cp_Database_200!$J201/0.64, 2), "-")</f>
        <v>37.53</v>
      </c>
      <c r="M201" s="16">
        <f>IF(AND(1000&gt;=$E201, 1000&lt;=$F201), ROUND(Cp_Database_200!$F201 + Cp_Database_200!$G201*1 + Cp_Database_200!$H201*1 + Cp_Database_200!$I201*1 + Cp_Database_200!$J201/1, 2), "-")</f>
        <v>37.69</v>
      </c>
      <c r="N201" s="16">
        <f>IF(AND(1200&gt;=$E201, 1200&lt;=$F201), ROUND(Cp_Database_200!$F201 + Cp_Database_200!$G201*1.2 + Cp_Database_200!$H201*1.44 + Cp_Database_200!$I201*1.728 + Cp_Database_200!$J201/1.44, 2), "-")</f>
        <v>37.880000000000003</v>
      </c>
      <c r="O201" s="16">
        <f>IF(AND(1500&gt;=$E201, 1500&lt;=$F201), ROUND(Cp_Database_200!$F201 + Cp_Database_200!$G201*1.5 + Cp_Database_200!$H201*2.25 + Cp_Database_200!$I201*3.375 + Cp_Database_200!$J201/2.25, 2), "-")</f>
        <v>38.24</v>
      </c>
      <c r="P201" s="16">
        <f>IF(AND(2000&gt;=$E201, 2000&lt;=$F201), ROUND(Cp_Database_200!$F201 + Cp_Database_200!$G201*2 + Cp_Database_200!$H201*4 + Cp_Database_200!$I201*8 + Cp_Database_200!$J201/4, 2), "-")</f>
        <v>39.04</v>
      </c>
    </row>
  </sheetData>
  <autoFilter ref="A1:P201" xr:uid="{8D2A03EB-B7BD-455E-93A1-B051BA7F73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56A1-0226-4826-BF54-E6D542226B6E}">
  <dimension ref="B2:E39"/>
  <sheetViews>
    <sheetView workbookViewId="0"/>
  </sheetViews>
  <sheetFormatPr defaultRowHeight="14.4" x14ac:dyDescent="0.3"/>
  <cols>
    <col min="1" max="1" width="3.77734375" customWidth="1"/>
    <col min="2" max="2" width="26.77734375" customWidth="1"/>
    <col min="3" max="3" width="28.77734375" customWidth="1"/>
    <col min="4" max="5" width="24.77734375" customWidth="1"/>
  </cols>
  <sheetData>
    <row r="2" spans="2:5" ht="18" x14ac:dyDescent="0.35">
      <c r="B2" s="17" t="s">
        <v>441</v>
      </c>
    </row>
    <row r="3" spans="2:5" x14ac:dyDescent="0.3">
      <c r="B3" s="18" t="s">
        <v>442</v>
      </c>
    </row>
    <row r="5" spans="2:5" ht="15.6" x14ac:dyDescent="0.3">
      <c r="B5" s="20" t="s">
        <v>443</v>
      </c>
      <c r="C5" s="21">
        <v>1</v>
      </c>
      <c r="D5" s="20" t="s">
        <v>449</v>
      </c>
      <c r="E5" s="19"/>
    </row>
    <row r="6" spans="2:5" x14ac:dyDescent="0.3">
      <c r="B6" s="19" t="s">
        <v>444</v>
      </c>
      <c r="C6" s="20" t="str">
        <f>VLOOKUP($C$5, Cp_Database_200!$A$2:$O$201, 2, FALSE)</f>
        <v>Aluminium</v>
      </c>
      <c r="D6" s="19" t="s">
        <v>450</v>
      </c>
      <c r="E6" s="19">
        <f>VLOOKUP($C$5, Cp_Database_200!$A$2:$O$201, 6, FALSE)</f>
        <v>28.089200000000002</v>
      </c>
    </row>
    <row r="7" spans="2:5" x14ac:dyDescent="0.3">
      <c r="B7" s="19" t="s">
        <v>445</v>
      </c>
      <c r="C7" s="20" t="str">
        <f>VLOOKUP($C$5, Cp_Database_200!$A$2:$O$201, 3, FALSE)</f>
        <v>Al</v>
      </c>
      <c r="D7" s="19" t="s">
        <v>451</v>
      </c>
      <c r="E7" s="19">
        <f>VLOOKUP($C$5, Cp_Database_200!$A$2:$O$201, 7, FALSE)</f>
        <v>-5.4148490000000002</v>
      </c>
    </row>
    <row r="8" spans="2:5" x14ac:dyDescent="0.3">
      <c r="B8" s="19" t="s">
        <v>446</v>
      </c>
      <c r="C8" s="19" t="str">
        <f>VLOOKUP($C$5, Cp_Database_200!$A$2:$O$201, 5, FALSE)</f>
        <v>Metal</v>
      </c>
      <c r="D8" s="19" t="s">
        <v>452</v>
      </c>
      <c r="E8" s="19">
        <f>VLOOKUP($C$5, Cp_Database_200!$A$2:$O$201, 8, FALSE)</f>
        <v>8.5604230000000001</v>
      </c>
    </row>
    <row r="9" spans="2:5" x14ac:dyDescent="0.3">
      <c r="B9" s="19" t="s">
        <v>447</v>
      </c>
      <c r="C9" s="19" t="str">
        <f>VLOOKUP($C$5, Cp_Database_200!$A$2:$O$201, 11, FALSE) &amp; " K  to  " &amp; VLOOKUP($C$5, Cp_Database_200!$A$2:$O$201, 12, FALSE) &amp; " K"</f>
        <v>298 K  to  933 K</v>
      </c>
      <c r="D9" s="19" t="s">
        <v>453</v>
      </c>
      <c r="E9" s="19">
        <f>VLOOKUP($C$5, Cp_Database_200!$A$2:$O$201, 9, FALSE)</f>
        <v>3.4273699999999998</v>
      </c>
    </row>
    <row r="10" spans="2:5" x14ac:dyDescent="0.3">
      <c r="B10" s="19" t="s">
        <v>448</v>
      </c>
      <c r="C10" s="19">
        <f>VLOOKUP($C$5, Cp_Database_200!$A$2:$O$201, 15, FALSE)</f>
        <v>26.981999999999999</v>
      </c>
      <c r="D10" s="19" t="s">
        <v>454</v>
      </c>
      <c r="E10" s="19">
        <f>VLOOKUP($C$5, Cp_Database_200!$A$2:$O$201, 10, FALSE)</f>
        <v>-0.27737499999999998</v>
      </c>
    </row>
    <row r="11" spans="2:5" x14ac:dyDescent="0.3">
      <c r="B11" s="19"/>
      <c r="C11" s="19"/>
      <c r="D11" s="19" t="s">
        <v>455</v>
      </c>
      <c r="E11" s="19">
        <f>VLOOKUP($C$5, Cp_Database_200!$A$2:$O$201, 11, FALSE)</f>
        <v>298</v>
      </c>
    </row>
    <row r="12" spans="2:5" x14ac:dyDescent="0.3">
      <c r="D12" t="s">
        <v>456</v>
      </c>
      <c r="E12">
        <f>VLOOKUP($C$5, Cp_Database_200!$A$2:$O$201, 12, FALSE)</f>
        <v>933</v>
      </c>
    </row>
    <row r="14" spans="2:5" ht="24" customHeight="1" x14ac:dyDescent="0.3">
      <c r="B14" s="22" t="s">
        <v>457</v>
      </c>
      <c r="C14" s="22" t="s">
        <v>458</v>
      </c>
      <c r="D14" s="22" t="s">
        <v>459</v>
      </c>
      <c r="E14" s="22" t="s">
        <v>460</v>
      </c>
    </row>
    <row r="15" spans="2:5" x14ac:dyDescent="0.3">
      <c r="B15" s="23">
        <f>ROUND($E$11 + 0 * ($E$12 - $E$11) / 24, 1)</f>
        <v>298</v>
      </c>
      <c r="C15" s="25">
        <f>B15 / 1000</f>
        <v>0.29799999999999999</v>
      </c>
      <c r="D15" s="25">
        <f>ROUND($E$6 + $E$7*C15 + $E$8*(C15^2) + $E$9*(C15^3) + $E$10/(C15^2), 3)</f>
        <v>24.202999999999999</v>
      </c>
      <c r="E15" s="26">
        <f>IF($C$10&gt;0, ROUND(D15 / $C$10, 4), "-")</f>
        <v>0.89700000000000002</v>
      </c>
    </row>
    <row r="16" spans="2:5" x14ac:dyDescent="0.3">
      <c r="B16" s="24">
        <f>ROUND($E$11 + 1 * ($E$12 - $E$11) / 24, 1)</f>
        <v>324.5</v>
      </c>
      <c r="C16" s="25">
        <f>B16 / 1000</f>
        <v>0.32450000000000001</v>
      </c>
      <c r="D16" s="25">
        <f>ROUND($E$6 + $E$7*C16 + $E$8*(C16^2) + $E$9*(C16^3) + $E$10/(C16^2), 3)</f>
        <v>24.716000000000001</v>
      </c>
      <c r="E16" s="26">
        <f>IF($C$10&gt;0, ROUND(D16 / $C$10, 4), "-")</f>
        <v>0.91600000000000004</v>
      </c>
    </row>
    <row r="17" spans="2:5" x14ac:dyDescent="0.3">
      <c r="B17" s="23">
        <f>ROUND($E$11 + 2 * ($E$12 - $E$11) / 24, 1)</f>
        <v>350.9</v>
      </c>
      <c r="C17" s="25">
        <f>B17 / 1000</f>
        <v>0.35089999999999999</v>
      </c>
      <c r="D17" s="25">
        <f>ROUND($E$6 + $E$7*C17 + $E$8*(C17^2) + $E$9*(C17^3) + $E$10/(C17^2), 3)</f>
        <v>25.138999999999999</v>
      </c>
      <c r="E17" s="26">
        <f>IF($C$10&gt;0, ROUND(D17 / $C$10, 4), "-")</f>
        <v>0.93169999999999997</v>
      </c>
    </row>
    <row r="18" spans="2:5" x14ac:dyDescent="0.3">
      <c r="B18" s="24">
        <f>ROUND($E$11 + 3 * ($E$12 - $E$11) / 24, 1)</f>
        <v>377.4</v>
      </c>
      <c r="C18" s="25">
        <f>B18 / 1000</f>
        <v>0.37739999999999996</v>
      </c>
      <c r="D18" s="25">
        <f>ROUND($E$6 + $E$7*C18 + $E$8*(C18^2) + $E$9*(C18^3) + $E$10/(C18^2), 3)</f>
        <v>25.501999999999999</v>
      </c>
      <c r="E18" s="26">
        <f>IF($C$10&gt;0, ROUND(D18 / $C$10, 4), "-")</f>
        <v>0.94510000000000005</v>
      </c>
    </row>
    <row r="19" spans="2:5" x14ac:dyDescent="0.3">
      <c r="B19" s="23">
        <f>ROUND($E$11 + 4 * ($E$12 - $E$11) / 24, 1)</f>
        <v>403.8</v>
      </c>
      <c r="C19" s="25">
        <f>B19 / 1000</f>
        <v>0.40379999999999999</v>
      </c>
      <c r="D19" s="25">
        <f>ROUND($E$6 + $E$7*C19 + $E$8*(C19^2) + $E$9*(C19^3) + $E$10/(C19^2), 3)</f>
        <v>25.823</v>
      </c>
      <c r="E19" s="26">
        <f>IF($C$10&gt;0, ROUND(D19 / $C$10, 4), "-")</f>
        <v>0.95699999999999996</v>
      </c>
    </row>
    <row r="20" spans="2:5" x14ac:dyDescent="0.3">
      <c r="B20" s="24">
        <f>ROUND($E$11 + 5 * ($E$12 - $E$11) / 24, 1)</f>
        <v>430.3</v>
      </c>
      <c r="C20" s="25">
        <f>B20 / 1000</f>
        <v>0.43030000000000002</v>
      </c>
      <c r="D20" s="25">
        <f>ROUND($E$6 + $E$7*C20 + $E$8*(C20^2) + $E$9*(C20^3) + $E$10/(C20^2), 3)</f>
        <v>26.119</v>
      </c>
      <c r="E20" s="26">
        <f>IF($C$10&gt;0, ROUND(D20 / $C$10, 4), "-")</f>
        <v>0.96799999999999997</v>
      </c>
    </row>
    <row r="21" spans="2:5" x14ac:dyDescent="0.3">
      <c r="B21" s="23">
        <f>ROUND($E$11 + 6 * ($E$12 - $E$11) / 24, 1)</f>
        <v>456.8</v>
      </c>
      <c r="C21" s="25">
        <f>B21 / 1000</f>
        <v>0.45679999999999998</v>
      </c>
      <c r="D21" s="25">
        <f>ROUND($E$6 + $E$7*C21 + $E$8*(C21^2) + $E$9*(C21^3) + $E$10/(C21^2), 3)</f>
        <v>26.399000000000001</v>
      </c>
      <c r="E21" s="26">
        <f>IF($C$10&gt;0, ROUND(D21 / $C$10, 4), "-")</f>
        <v>0.97840000000000005</v>
      </c>
    </row>
    <row r="22" spans="2:5" x14ac:dyDescent="0.3">
      <c r="B22" s="24">
        <f>ROUND($E$11 + 7 * ($E$12 - $E$11) / 24, 1)</f>
        <v>483.2</v>
      </c>
      <c r="C22" s="25">
        <f>B22 / 1000</f>
        <v>0.48319999999999996</v>
      </c>
      <c r="D22" s="25">
        <f>ROUND($E$6 + $E$7*C22 + $E$8*(C22^2) + $E$9*(C22^3) + $E$10/(C22^2), 3)</f>
        <v>26.67</v>
      </c>
      <c r="E22" s="26">
        <f>IF($C$10&gt;0, ROUND(D22 / $C$10, 4), "-")</f>
        <v>0.98839999999999995</v>
      </c>
    </row>
    <row r="23" spans="2:5" x14ac:dyDescent="0.3">
      <c r="B23" s="23">
        <f>ROUND($E$11 + 8 * ($E$12 - $E$11) / 24, 1)</f>
        <v>509.7</v>
      </c>
      <c r="C23" s="25">
        <f>B23 / 1000</f>
        <v>0.50970000000000004</v>
      </c>
      <c r="D23" s="25">
        <f>ROUND($E$6 + $E$7*C23 + $E$8*(C23^2) + $E$9*(C23^3) + $E$10/(C23^2), 3)</f>
        <v>26.939</v>
      </c>
      <c r="E23" s="26">
        <f>IF($C$10&gt;0, ROUND(D23 / $C$10, 4), "-")</f>
        <v>0.99839999999999995</v>
      </c>
    </row>
    <row r="24" spans="2:5" x14ac:dyDescent="0.3">
      <c r="B24" s="24">
        <f>ROUND($E$11 + 9 * ($E$12 - $E$11) / 24, 1)</f>
        <v>536.1</v>
      </c>
      <c r="C24" s="25">
        <f>B24 / 1000</f>
        <v>0.53610000000000002</v>
      </c>
      <c r="D24" s="25">
        <f>ROUND($E$6 + $E$7*C24 + $E$8*(C24^2) + $E$9*(C24^3) + $E$10/(C24^2), 3)</f>
        <v>27.21</v>
      </c>
      <c r="E24" s="26">
        <f>IF($C$10&gt;0, ROUND(D24 / $C$10, 4), "-")</f>
        <v>1.0085</v>
      </c>
    </row>
    <row r="25" spans="2:5" x14ac:dyDescent="0.3">
      <c r="B25" s="23">
        <f>ROUND($E$11 + 10 * ($E$12 - $E$11) / 24, 1)</f>
        <v>562.6</v>
      </c>
      <c r="C25" s="25">
        <f>B25 / 1000</f>
        <v>0.56259999999999999</v>
      </c>
      <c r="D25" s="25">
        <f>ROUND($E$6 + $E$7*C25 + $E$8*(C25^2) + $E$9*(C25^3) + $E$10/(C25^2), 3)</f>
        <v>27.486000000000001</v>
      </c>
      <c r="E25" s="26">
        <f>IF($C$10&gt;0, ROUND(D25 / $C$10, 4), "-")</f>
        <v>1.0186999999999999</v>
      </c>
    </row>
    <row r="26" spans="2:5" x14ac:dyDescent="0.3">
      <c r="B26" s="24">
        <f>ROUND($E$11 + 11 * ($E$12 - $E$11) / 24, 1)</f>
        <v>589</v>
      </c>
      <c r="C26" s="25">
        <f>B26 / 1000</f>
        <v>0.58899999999999997</v>
      </c>
      <c r="D26" s="25">
        <f>ROUND($E$6 + $E$7*C26 + $E$8*(C26^2) + $E$9*(C26^3) + $E$10/(C26^2), 3)</f>
        <v>27.77</v>
      </c>
      <c r="E26" s="26">
        <f>IF($C$10&gt;0, ROUND(D26 / $C$10, 4), "-")</f>
        <v>1.0291999999999999</v>
      </c>
    </row>
    <row r="27" spans="2:5" x14ac:dyDescent="0.3">
      <c r="B27" s="23">
        <f>ROUND($E$11 + 12 * ($E$12 - $E$11) / 24, 1)</f>
        <v>615.5</v>
      </c>
      <c r="C27" s="25">
        <f>B27 / 1000</f>
        <v>0.61550000000000005</v>
      </c>
      <c r="D27" s="25">
        <f>ROUND($E$6 + $E$7*C27 + $E$8*(C27^2) + $E$9*(C27^3) + $E$10/(C27^2), 3)</f>
        <v>28.065999999999999</v>
      </c>
      <c r="E27" s="26">
        <f>IF($C$10&gt;0, ROUND(D27 / $C$10, 4), "-")</f>
        <v>1.0402</v>
      </c>
    </row>
    <row r="28" spans="2:5" x14ac:dyDescent="0.3">
      <c r="B28" s="24">
        <f>ROUND($E$11 + 13 * ($E$12 - $E$11) / 24, 1)</f>
        <v>642</v>
      </c>
      <c r="C28" s="25">
        <f>B28 / 1000</f>
        <v>0.64200000000000002</v>
      </c>
      <c r="D28" s="25">
        <f>ROUND($E$6 + $E$7*C28 + $E$8*(C28^2) + $E$9*(C28^3) + $E$10/(C28^2), 3)</f>
        <v>28.375</v>
      </c>
      <c r="E28" s="26">
        <f>IF($C$10&gt;0, ROUND(D28 / $C$10, 4), "-")</f>
        <v>1.0516000000000001</v>
      </c>
    </row>
    <row r="29" spans="2:5" x14ac:dyDescent="0.3">
      <c r="B29" s="23">
        <f>ROUND($E$11 + 14 * ($E$12 - $E$11) / 24, 1)</f>
        <v>668.4</v>
      </c>
      <c r="C29" s="25">
        <f>B29 / 1000</f>
        <v>0.66839999999999999</v>
      </c>
      <c r="D29" s="25">
        <f>ROUND($E$6 + $E$7*C29 + $E$8*(C29^2) + $E$9*(C29^3) + $E$10/(C29^2), 3)</f>
        <v>28.696999999999999</v>
      </c>
      <c r="E29" s="26">
        <f>IF($C$10&gt;0, ROUND(D29 / $C$10, 4), "-")</f>
        <v>1.0636000000000001</v>
      </c>
    </row>
    <row r="30" spans="2:5" x14ac:dyDescent="0.3">
      <c r="B30" s="24">
        <f>ROUND($E$11 + 15 * ($E$12 - $E$11) / 24, 1)</f>
        <v>694.9</v>
      </c>
      <c r="C30" s="25">
        <f>B30 / 1000</f>
        <v>0.69489999999999996</v>
      </c>
      <c r="D30" s="25">
        <f>ROUND($E$6 + $E$7*C30 + $E$8*(C30^2) + $E$9*(C30^3) + $E$10/(C30^2), 3)</f>
        <v>29.036000000000001</v>
      </c>
      <c r="E30" s="26">
        <f>IF($C$10&gt;0, ROUND(D30 / $C$10, 4), "-")</f>
        <v>1.0761000000000001</v>
      </c>
    </row>
    <row r="31" spans="2:5" x14ac:dyDescent="0.3">
      <c r="B31" s="23">
        <f>ROUND($E$11 + 16 * ($E$12 - $E$11) / 24, 1)</f>
        <v>721.3</v>
      </c>
      <c r="C31" s="25">
        <f>B31 / 1000</f>
        <v>0.72129999999999994</v>
      </c>
      <c r="D31" s="25">
        <f>ROUND($E$6 + $E$7*C31 + $E$8*(C31^2) + $E$9*(C31^3) + $E$10/(C31^2), 3)</f>
        <v>29.39</v>
      </c>
      <c r="E31" s="26">
        <f>IF($C$10&gt;0, ROUND(D31 / $C$10, 4), "-")</f>
        <v>1.0891999999999999</v>
      </c>
    </row>
    <row r="32" spans="2:5" x14ac:dyDescent="0.3">
      <c r="B32" s="24">
        <f>ROUND($E$11 + 17 * ($E$12 - $E$11) / 24, 1)</f>
        <v>747.8</v>
      </c>
      <c r="C32" s="25">
        <f>B32 / 1000</f>
        <v>0.74779999999999991</v>
      </c>
      <c r="D32" s="25">
        <f>ROUND($E$6 + $E$7*C32 + $E$8*(C32^2) + $E$9*(C32^3) + $E$10/(C32^2), 3)</f>
        <v>29.763999999999999</v>
      </c>
      <c r="E32" s="26">
        <f>IF($C$10&gt;0, ROUND(D32 / $C$10, 4), "-")</f>
        <v>1.1031</v>
      </c>
    </row>
    <row r="33" spans="2:5" x14ac:dyDescent="0.3">
      <c r="B33" s="23">
        <f>ROUND($E$11 + 18 * ($E$12 - $E$11) / 24, 1)</f>
        <v>774.3</v>
      </c>
      <c r="C33" s="25">
        <f>B33 / 1000</f>
        <v>0.77429999999999999</v>
      </c>
      <c r="D33" s="25">
        <f>ROUND($E$6 + $E$7*C33 + $E$8*(C33^2) + $E$9*(C33^3) + $E$10/(C33^2), 3)</f>
        <v>30.157</v>
      </c>
      <c r="E33" s="26">
        <f>IF($C$10&gt;0, ROUND(D33 / $C$10, 4), "-")</f>
        <v>1.1176999999999999</v>
      </c>
    </row>
    <row r="34" spans="2:5" x14ac:dyDescent="0.3">
      <c r="B34" s="24">
        <f>ROUND($E$11 + 19 * ($E$12 - $E$11) / 24, 1)</f>
        <v>800.7</v>
      </c>
      <c r="C34" s="25">
        <f>B34 / 1000</f>
        <v>0.80070000000000008</v>
      </c>
      <c r="D34" s="25">
        <f>ROUND($E$6 + $E$7*C34 + $E$8*(C34^2) + $E$9*(C34^3) + $E$10/(C34^2), 3)</f>
        <v>30.568999999999999</v>
      </c>
      <c r="E34" s="26">
        <f>IF($C$10&gt;0, ROUND(D34 / $C$10, 4), "-")</f>
        <v>1.1329</v>
      </c>
    </row>
    <row r="35" spans="2:5" x14ac:dyDescent="0.3">
      <c r="B35" s="23">
        <f>ROUND($E$11 + 20 * ($E$12 - $E$11) / 24, 1)</f>
        <v>827.2</v>
      </c>
      <c r="C35" s="25">
        <f>B35 / 1000</f>
        <v>0.82720000000000005</v>
      </c>
      <c r="D35" s="25">
        <f>ROUND($E$6 + $E$7*C35 + $E$8*(C35^2) + $E$9*(C35^3) + $E$10/(C35^2), 3)</f>
        <v>31.001999999999999</v>
      </c>
      <c r="E35" s="26">
        <f>IF($C$10&gt;0, ROUND(D35 / $C$10, 4), "-")</f>
        <v>1.149</v>
      </c>
    </row>
    <row r="36" spans="2:5" x14ac:dyDescent="0.3">
      <c r="B36" s="24">
        <f>ROUND($E$11 + 21 * ($E$12 - $E$11) / 24, 1)</f>
        <v>853.6</v>
      </c>
      <c r="C36" s="25">
        <f>B36 / 1000</f>
        <v>0.85360000000000003</v>
      </c>
      <c r="D36" s="25">
        <f>ROUND($E$6 + $E$7*C36 + $E$8*(C36^2) + $E$9*(C36^3) + $E$10/(C36^2), 3)</f>
        <v>31.456</v>
      </c>
      <c r="E36" s="26">
        <f>IF($C$10&gt;0, ROUND(D36 / $C$10, 4), "-")</f>
        <v>1.1657999999999999</v>
      </c>
    </row>
    <row r="37" spans="2:5" x14ac:dyDescent="0.3">
      <c r="B37" s="23">
        <f>ROUND($E$11 + 22 * ($E$12 - $E$11) / 24, 1)</f>
        <v>880.1</v>
      </c>
      <c r="C37" s="25">
        <f>B37 / 1000</f>
        <v>0.88009999999999999</v>
      </c>
      <c r="D37" s="25">
        <f>ROUND($E$6 + $E$7*C37 + $E$8*(C37^2) + $E$9*(C37^3) + $E$10/(C37^2), 3)</f>
        <v>31.933</v>
      </c>
      <c r="E37" s="26">
        <f>IF($C$10&gt;0, ROUND(D37 / $C$10, 4), "-")</f>
        <v>1.1835</v>
      </c>
    </row>
    <row r="38" spans="2:5" x14ac:dyDescent="0.3">
      <c r="B38" s="24">
        <f>ROUND($E$11 + 23 * ($E$12 - $E$11) / 24, 1)</f>
        <v>906.5</v>
      </c>
      <c r="C38" s="25">
        <f>B38 / 1000</f>
        <v>0.90649999999999997</v>
      </c>
      <c r="D38" s="25">
        <f>ROUND($E$6 + $E$7*C38 + $E$8*(C38^2) + $E$9*(C38^3) + $E$10/(C38^2), 3)</f>
        <v>32.430999999999997</v>
      </c>
      <c r="E38" s="26">
        <f>IF($C$10&gt;0, ROUND(D38 / $C$10, 4), "-")</f>
        <v>1.2019</v>
      </c>
    </row>
    <row r="39" spans="2:5" x14ac:dyDescent="0.3">
      <c r="B39" s="23">
        <f>ROUND($E$11 + 24 * ($E$12 - $E$11) / 24, 1)</f>
        <v>933</v>
      </c>
      <c r="C39" s="25">
        <f>B39 / 1000</f>
        <v>0.93300000000000005</v>
      </c>
      <c r="D39" s="25">
        <f>ROUND($E$6 + $E$7*C39 + $E$8*(C39^2) + $E$9*(C39^3) + $E$10/(C39^2), 3)</f>
        <v>32.954000000000001</v>
      </c>
      <c r="E39" s="26">
        <f>IF($C$10&gt;0, ROUND(D39 / $C$10, 4), "-")</f>
        <v>1.2213000000000001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005D-FB1B-4065-A6A2-F63F15B43D91}">
  <dimension ref="B2:E19"/>
  <sheetViews>
    <sheetView workbookViewId="0"/>
  </sheetViews>
  <sheetFormatPr defaultRowHeight="14.4" x14ac:dyDescent="0.3"/>
  <cols>
    <col min="1" max="1" width="3.77734375" customWidth="1"/>
    <col min="2" max="2" width="26.77734375" customWidth="1"/>
    <col min="3" max="3" width="10.77734375" customWidth="1"/>
    <col min="4" max="4" width="52.77734375" customWidth="1"/>
    <col min="5" max="5" width="46.77734375" customWidth="1"/>
  </cols>
  <sheetData>
    <row r="2" spans="2:5" ht="18" x14ac:dyDescent="0.35">
      <c r="B2" s="17" t="s">
        <v>461</v>
      </c>
    </row>
    <row r="3" spans="2:5" x14ac:dyDescent="0.3">
      <c r="B3" s="27" t="s">
        <v>462</v>
      </c>
    </row>
    <row r="5" spans="2:5" ht="25.95" customHeight="1" x14ac:dyDescent="0.3">
      <c r="B5" s="22" t="s">
        <v>463</v>
      </c>
      <c r="C5" s="22" t="s">
        <v>464</v>
      </c>
      <c r="D5" s="22" t="s">
        <v>465</v>
      </c>
      <c r="E5" s="22" t="s">
        <v>466</v>
      </c>
    </row>
    <row r="6" spans="2:5" x14ac:dyDescent="0.3">
      <c r="B6" s="28" t="s">
        <v>18</v>
      </c>
      <c r="C6" s="29">
        <f>COUNTIF(Cp_Database_200!$E$2:$E$201, B6)</f>
        <v>25</v>
      </c>
      <c r="D6" s="28" t="s">
        <v>467</v>
      </c>
      <c r="E6" s="28" t="s">
        <v>468</v>
      </c>
    </row>
    <row r="7" spans="2:5" x14ac:dyDescent="0.3">
      <c r="B7" s="30" t="s">
        <v>71</v>
      </c>
      <c r="C7" s="29">
        <f>COUNTIF(Cp_Database_200!$E$2:$E$201, B7)</f>
        <v>22</v>
      </c>
      <c r="D7" s="28" t="s">
        <v>469</v>
      </c>
      <c r="E7" s="28" t="s">
        <v>470</v>
      </c>
    </row>
    <row r="8" spans="2:5" x14ac:dyDescent="0.3">
      <c r="B8" s="28" t="s">
        <v>78</v>
      </c>
      <c r="C8" s="29">
        <f>COUNTIF(Cp_Database_200!$E$2:$E$201, B8)</f>
        <v>16</v>
      </c>
      <c r="D8" s="28" t="s">
        <v>471</v>
      </c>
      <c r="E8" s="28" t="s">
        <v>472</v>
      </c>
    </row>
    <row r="9" spans="2:5" x14ac:dyDescent="0.3">
      <c r="B9" s="30" t="s">
        <v>119</v>
      </c>
      <c r="C9" s="29">
        <f>COUNTIF(Cp_Database_200!$E$2:$E$201, B9)</f>
        <v>8</v>
      </c>
      <c r="D9" s="28" t="s">
        <v>473</v>
      </c>
      <c r="E9" s="28" t="s">
        <v>474</v>
      </c>
    </row>
    <row r="10" spans="2:5" x14ac:dyDescent="0.3">
      <c r="B10" s="28" t="s">
        <v>132</v>
      </c>
      <c r="C10" s="29">
        <f>COUNTIF(Cp_Database_200!$E$2:$E$201, B10)</f>
        <v>7</v>
      </c>
      <c r="D10" s="28" t="s">
        <v>475</v>
      </c>
      <c r="E10" s="28" t="s">
        <v>476</v>
      </c>
    </row>
    <row r="11" spans="2:5" x14ac:dyDescent="0.3">
      <c r="B11" s="30" t="s">
        <v>145</v>
      </c>
      <c r="C11" s="29">
        <f>COUNTIF(Cp_Database_200!$E$2:$E$201, B11)</f>
        <v>7</v>
      </c>
      <c r="D11" s="28" t="s">
        <v>477</v>
      </c>
      <c r="E11" s="28" t="s">
        <v>478</v>
      </c>
    </row>
    <row r="12" spans="2:5" x14ac:dyDescent="0.3">
      <c r="B12" s="28" t="s">
        <v>160</v>
      </c>
      <c r="C12" s="29">
        <f>COUNTIF(Cp_Database_200!$E$2:$E$201, B12)</f>
        <v>2</v>
      </c>
      <c r="D12" s="28" t="s">
        <v>479</v>
      </c>
      <c r="E12" s="28" t="s">
        <v>480</v>
      </c>
    </row>
    <row r="13" spans="2:5" x14ac:dyDescent="0.3">
      <c r="B13" s="30" t="s">
        <v>165</v>
      </c>
      <c r="C13" s="29">
        <f>COUNTIF(Cp_Database_200!$E$2:$E$201, B13)</f>
        <v>1</v>
      </c>
      <c r="D13" s="28" t="s">
        <v>481</v>
      </c>
      <c r="E13" s="28" t="s">
        <v>482</v>
      </c>
    </row>
    <row r="14" spans="2:5" x14ac:dyDescent="0.3">
      <c r="B14" s="28" t="s">
        <v>183</v>
      </c>
      <c r="C14" s="29">
        <f>COUNTIF(Cp_Database_200!$E$2:$E$201, B14)</f>
        <v>51</v>
      </c>
      <c r="D14" s="28" t="s">
        <v>483</v>
      </c>
      <c r="E14" s="28" t="s">
        <v>484</v>
      </c>
    </row>
    <row r="15" spans="2:5" x14ac:dyDescent="0.3">
      <c r="B15" s="30" t="s">
        <v>220</v>
      </c>
      <c r="C15" s="29">
        <f>COUNTIF(Cp_Database_200!$E$2:$E$201, B15)</f>
        <v>4</v>
      </c>
      <c r="D15" s="28" t="s">
        <v>485</v>
      </c>
      <c r="E15" s="28" t="s">
        <v>486</v>
      </c>
    </row>
    <row r="16" spans="2:5" x14ac:dyDescent="0.3">
      <c r="B16" s="28" t="s">
        <v>223</v>
      </c>
      <c r="C16" s="29">
        <f>COUNTIF(Cp_Database_200!$E$2:$E$201, B16)</f>
        <v>8</v>
      </c>
      <c r="D16" s="28" t="s">
        <v>487</v>
      </c>
      <c r="E16" s="28" t="s">
        <v>488</v>
      </c>
    </row>
    <row r="17" spans="2:5" x14ac:dyDescent="0.3">
      <c r="B17" s="30" t="s">
        <v>273</v>
      </c>
      <c r="C17" s="29">
        <f>COUNTIF(Cp_Database_200!$E$2:$E$201, B17)</f>
        <v>5</v>
      </c>
      <c r="D17" s="28" t="s">
        <v>489</v>
      </c>
      <c r="E17" s="28" t="s">
        <v>490</v>
      </c>
    </row>
    <row r="18" spans="2:5" x14ac:dyDescent="0.3">
      <c r="B18" s="28" t="s">
        <v>236</v>
      </c>
      <c r="C18" s="29">
        <f>COUNTIF(Cp_Database_200!$E$2:$E$201, B18)</f>
        <v>44</v>
      </c>
      <c r="D18" s="28" t="s">
        <v>491</v>
      </c>
      <c r="E18" s="28" t="s">
        <v>492</v>
      </c>
    </row>
    <row r="19" spans="2:5" x14ac:dyDescent="0.3">
      <c r="B19" s="31" t="s">
        <v>493</v>
      </c>
      <c r="C19" s="29">
        <f>SUM(C6:C18)</f>
        <v>200</v>
      </c>
      <c r="D19" s="32" t="s">
        <v>494</v>
      </c>
      <c r="E19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EC54-A320-4E55-A29A-CD69BF9BC85E}">
  <dimension ref="B2:C13"/>
  <sheetViews>
    <sheetView workbookViewId="0"/>
  </sheetViews>
  <sheetFormatPr defaultRowHeight="14.4" x14ac:dyDescent="0.3"/>
  <cols>
    <col min="1" max="1" width="3.77734375" customWidth="1"/>
    <col min="2" max="2" width="28.77734375" customWidth="1"/>
    <col min="3" max="3" width="90.77734375" customWidth="1"/>
  </cols>
  <sheetData>
    <row r="2" spans="2:3" ht="19.8" x14ac:dyDescent="0.4">
      <c r="B2" s="34" t="s">
        <v>495</v>
      </c>
    </row>
    <row r="3" spans="2:3" x14ac:dyDescent="0.3">
      <c r="B3" s="35" t="s">
        <v>496</v>
      </c>
    </row>
    <row r="5" spans="2:3" ht="24" customHeight="1" x14ac:dyDescent="0.3">
      <c r="B5" s="36" t="s">
        <v>497</v>
      </c>
      <c r="C5" s="36" t="s">
        <v>498</v>
      </c>
    </row>
    <row r="6" spans="2:3" ht="28.8" x14ac:dyDescent="0.3">
      <c r="B6" s="32" t="s">
        <v>499</v>
      </c>
      <c r="C6" s="38" t="s">
        <v>500</v>
      </c>
    </row>
    <row r="7" spans="2:3" ht="28.8" x14ac:dyDescent="0.3">
      <c r="B7" s="37" t="s">
        <v>501</v>
      </c>
      <c r="C7" s="38" t="s">
        <v>502</v>
      </c>
    </row>
    <row r="8" spans="2:3" ht="28.8" x14ac:dyDescent="0.3">
      <c r="B8" s="32" t="s">
        <v>503</v>
      </c>
      <c r="C8" s="38" t="s">
        <v>504</v>
      </c>
    </row>
    <row r="9" spans="2:3" ht="28.8" x14ac:dyDescent="0.3">
      <c r="B9" s="37" t="s">
        <v>505</v>
      </c>
      <c r="C9" s="38" t="s">
        <v>506</v>
      </c>
    </row>
    <row r="10" spans="2:3" ht="28.8" x14ac:dyDescent="0.3">
      <c r="B10" s="32" t="s">
        <v>507</v>
      </c>
      <c r="C10" s="38" t="s">
        <v>508</v>
      </c>
    </row>
    <row r="11" spans="2:3" ht="28.8" x14ac:dyDescent="0.3">
      <c r="B11" s="37" t="s">
        <v>509</v>
      </c>
      <c r="C11" s="38" t="s">
        <v>510</v>
      </c>
    </row>
    <row r="12" spans="2:3" ht="43.2" x14ac:dyDescent="0.3">
      <c r="B12" s="32" t="s">
        <v>511</v>
      </c>
      <c r="C12" s="38" t="s">
        <v>512</v>
      </c>
    </row>
    <row r="13" spans="2:3" ht="28.8" x14ac:dyDescent="0.3">
      <c r="B13" s="37" t="s">
        <v>513</v>
      </c>
      <c r="C13" s="38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Cp_Database_200</vt:lpstr>
      <vt:lpstr>Cp_Calculations</vt:lpstr>
      <vt:lpstr>Interactive_Plotter</vt:lpstr>
      <vt:lpstr>Summary_by_Class</vt:lpstr>
      <vt:lpstr>About_and_Instructions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 Godhani</dc:creator>
  <cp:lastModifiedBy>Smit Godhani</cp:lastModifiedBy>
  <dcterms:created xsi:type="dcterms:W3CDTF">2026-09-04T05:04:14Z</dcterms:created>
  <dcterms:modified xsi:type="dcterms:W3CDTF">2026-09-04T05:04:32Z</dcterms:modified>
</cp:coreProperties>
</file>